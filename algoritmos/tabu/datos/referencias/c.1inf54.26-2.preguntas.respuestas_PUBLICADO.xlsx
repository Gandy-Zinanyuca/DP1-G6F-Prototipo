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_Proyecto" sheetId="1" r:id="rId5"/>
    <sheet state="visible" name="Guía" sheetId="2" r:id="rId6"/>
    <sheet state="visible" name="Mapa" sheetId="3" r:id="rId7"/>
    <sheet state="visible" name="Flota" sheetId="4" r:id="rId8"/>
    <sheet state="hidden" name="PR_Entregables" sheetId="5" r:id="rId9"/>
  </sheets>
  <definedNames/>
  <calcPr/>
</workbook>
</file>

<file path=xl/sharedStrings.xml><?xml version="1.0" encoding="utf-8"?>
<sst xmlns="http://schemas.openxmlformats.org/spreadsheetml/2006/main" count="809" uniqueCount="287">
  <si>
    <t>Hoy</t>
  </si>
  <si>
    <t>Horario</t>
  </si>
  <si>
    <t>1INF54 Proyecto de Diseño y Desarrollo de Software</t>
  </si>
  <si>
    <t>Publicado menos de 24h...</t>
  </si>
  <si>
    <t>Fechas</t>
  </si>
  <si>
    <t>Equipo</t>
  </si>
  <si>
    <t>Flota
Tipo</t>
  </si>
  <si>
    <t>Cantidad
Unidad</t>
  </si>
  <si>
    <t>Capacidad
Productos</t>
  </si>
  <si>
    <t>Velocidad
Km/h</t>
  </si>
  <si>
    <t>Máxima Distancia</t>
  </si>
  <si>
    <t>NroViajes
mín # veces</t>
  </si>
  <si>
    <t>Código</t>
  </si>
  <si>
    <t>Carga Total
Aprox. Mínima</t>
  </si>
  <si>
    <t>Costo S/</t>
  </si>
  <si>
    <t>Nombre y Apellido</t>
  </si>
  <si>
    <t>Autos</t>
  </si>
  <si>
    <r>
      <rPr>
        <rFont val="Calibri"/>
        <b/>
        <i/>
        <color rgb="FFFFFFFF"/>
        <sz val="10.0"/>
      </rPr>
      <t xml:space="preserve">IMPORTANTE.
</t>
    </r>
    <r>
      <rPr>
        <rFont val="Calibri"/>
        <b/>
        <i/>
        <color rgb="FFFFFF00"/>
        <sz val="10.0"/>
      </rPr>
      <t>Se ha publicado....</t>
    </r>
  </si>
  <si>
    <t>Publicado entre 24 y 48h</t>
  </si>
  <si>
    <t>FIN</t>
  </si>
  <si>
    <t>--</t>
  </si>
  <si>
    <t>Preguntas y Respuestas sobre el Proyecto</t>
  </si>
  <si>
    <t>Publicado entre 48 y 72h</t>
  </si>
  <si>
    <t>Criterio</t>
  </si>
  <si>
    <t>Criterios Generales antes de los escenarios</t>
  </si>
  <si>
    <t>Versión del software</t>
  </si>
  <si>
    <t>No</t>
  </si>
  <si>
    <t>Fecha de subida</t>
  </si>
  <si>
    <t>Nombre del algoritmo(s) principales (planificador)</t>
  </si>
  <si>
    <t>Problemas o pendientes reportados por los estudiantes</t>
  </si>
  <si>
    <t>Motos</t>
  </si>
  <si>
    <t>Publicado más de 72</t>
  </si>
  <si>
    <t>¿Está desplegado en V?</t>
  </si>
  <si>
    <t>Sí</t>
  </si>
  <si>
    <t>¿Cuánto es el tiempo de ejecución del algoritmo: Ta?</t>
  </si>
  <si>
    <t>Bicicletas</t>
  </si>
  <si>
    <t>¿Cuánto es el tiempo del salto del algoritmo: Sa?</t>
  </si>
  <si>
    <t>¿Diferencia entre los documentos definición del producto y definición del prototipos?</t>
  </si>
  <si>
    <t>¿Cuánto es el salto (tiempo) del eje del consumo Sc?</t>
  </si>
  <si>
    <t>¿Cuánto demora en mostrar la primera vez la simulación semanal desde presionar inicio? aproximadamente</t>
  </si>
  <si>
    <t>Explique cómo se ejecuta el planificador: ¿Continua o Bloques o Por demanda?</t>
  </si>
  <si>
    <t>¿Cómo sube los pedidos/ventas/envíos? [GUI o Script o Hard-code o Explicite otro]</t>
  </si>
  <si>
    <t>Máxima distancia ida:</t>
  </si>
  <si>
    <t>¿Cómo sube el mapa del planeta, país o ciudad? [GUI o Script o Hard-code o Explicite otro]</t>
  </si>
  <si>
    <t>Definición del producto... dice requisitos de alto nivel. ver el video para un ejemplo.
Definición de prototipo...una representación gráfica de los elementos y funcionalidades que cubre, para ello han revisado los otros productos.</t>
  </si>
  <si>
    <t>¿Cómo sube la flota?  [GUI o Script o Hard-code o Explicite otro]</t>
  </si>
  <si>
    <t xml:space="preserve"> </t>
  </si>
  <si>
    <t>¿Cómo sube los bloqueos? [GUI o Script o Hard-code o Explicite otro]</t>
  </si>
  <si>
    <t>Carga máxima 1 día en situación extrema</t>
  </si>
  <si>
    <t>¿Cómo sube las cancelaciones? [GUI o Script o Hard-code o Explicite otro]</t>
  </si>
  <si>
    <t>¿Cómo sube almacenes/oficinas/puntos de entrega? [GUI o Script o Hard-code o Explicite otro]</t>
  </si>
  <si>
    <t>Fecha</t>
  </si>
  <si>
    <t>Plan</t>
  </si>
  <si>
    <t>¿Cómo sube planes de vuelo? [GUI o Script o Hard-code o Explicite otro]</t>
  </si>
  <si>
    <t>ordenado por día, un sólo mantenimiento por día</t>
  </si>
  <si>
    <t>¿Cómo sube tramos (conexión)? [GUI o Script o Hard-code o Explicite otro]</t>
  </si>
  <si>
    <t>TA</t>
  </si>
  <si>
    <t>¿Cómo gestiona la BD? [RDBMS, no-SQL, csv/txt, Explicite otro]</t>
  </si>
  <si>
    <t>01</t>
  </si>
  <si>
    <t>¿Cómo cargan la data histórica/futura a la BD? antes de la simulación.</t>
  </si>
  <si>
    <t>¿Están usando el juego de datos completo proporcionados?</t>
  </si>
  <si>
    <t>¿Qué es una unidad de transporte?</t>
  </si>
  <si>
    <t>¿Está independiente la carga de data de los 3 escenarios?</t>
  </si>
  <si>
    <t xml:space="preserve">La unidad de transporte o vehíuclo, tratados como sinónimo, se refiere al término que engloba a cualquier tipo de medio de transporte considerado para el proyecto del curso y son: autos, motos, bicicletas. </t>
  </si>
  <si>
    <t>20260901:TA01</t>
  </si>
  <si>
    <t>02</t>
  </si>
  <si>
    <t>Debe ser mapa o plano. Se colocará mapa.</t>
  </si>
  <si>
    <t>04</t>
  </si>
  <si>
    <t>20260902:TB01</t>
  </si>
  <si>
    <t>03</t>
  </si>
  <si>
    <t>07</t>
  </si>
  <si>
    <t>¿Qué son las fallas, averías o similares y cuáles son los tipos de falla?</t>
  </si>
  <si>
    <t>¿Pide fecha y hora de inicio de la simulación semanal?</t>
  </si>
  <si>
    <t xml:space="preserve">En el curso se usará el término avería.
La avería es la no disponibilidad de una unidad de transporte por un periodo determinado.
Se tienen 3 tipos de averías:
- Avería Tipo 1 o menores que implica que el unidad de transporte no está disponible por 2 horas. Ejemplo. Una llanta se desinfla y se soluciona pronto.
- Avería Tipo 2 o intermedios que implica que el unidad de transporte no está disponible hasta el final del siguiente turno al que se averío, la unidad permanece en el lugar por 4 horas como máximo. Ejemplo. El sistema de transmisión (faja/cadena) se rompe.
- Avería Tipo 3 o mayores que implica que el unidad de transporte no está disponible por al menos 2 días por mantenimiento y retorna a operación en el turno 15:00 a 23:00. </t>
  </si>
  <si>
    <t>20260903:TM07</t>
  </si>
  <si>
    <t>respuesta inicial a ser ampliada más adelante.
1. Las averías se registran en el visualizador.
2. Se tendrán reglas de generación....</t>
  </si>
  <si>
    <t>10</t>
  </si>
  <si>
    <t>20260906:TB11</t>
  </si>
  <si>
    <t>05</t>
  </si>
  <si>
    <t>MAPA</t>
  </si>
  <si>
    <t>20260907:TA03</t>
  </si>
  <si>
    <t>06</t>
  </si>
  <si>
    <t>Avería Tipo 3 permanece en el lugar de la avería por 4 horas.
Las unidades de transporte en las averías 2 y 3, son llevadas de "manera instantanea" (por tema del curso) al almacen central. Además, los paquetes que no han sido trasvasados desde dichas unidades igualmente se llevan al almacen central.</t>
  </si>
  <si>
    <t>20260908:TB03</t>
  </si>
  <si>
    <t>Hablar de trasvase.   Giro en U o continua
Indicar el tiempo de trasvase ...   30 min.
-- no hay dato del peso... entonces consideramos o no que puedan salir con plena carga y atender según el cliente.</t>
  </si>
  <si>
    <t>¿Se presenta el mapa completo como la pantalla principal?</t>
  </si>
  <si>
    <t>20260909:TM09</t>
  </si>
  <si>
    <t>08</t>
  </si>
  <si>
    <t>¿Se aprovecha al máximo la pantalla para mostrar el mapa?</t>
  </si>
  <si>
    <t>20260912:TM01</t>
  </si>
  <si>
    <t>09</t>
  </si>
  <si>
    <t>¿Se tiene deshabiitado/guardado/recogido/oculto uno o más paneles al inicio? Mapa libre</t>
  </si>
  <si>
    <t>¿cuál es el mapa de la ciudad?</t>
  </si>
  <si>
    <t>20260913:TA05</t>
  </si>
  <si>
    <t>¿Se presenta cada almacén/oficina principal en el punto previsto en el mapa?</t>
  </si>
  <si>
    <t>20260914:TB05</t>
  </si>
  <si>
    <t>TB</t>
  </si>
  <si>
    <t>La ciudad es una reticula (rectagular de "x" Km de largo por "y" Km de ancho). Todas las calles son de doble sentido. La ciudad está conceptualizada como nodos (esquinas). No existen calles diagonales. No existen calles curvas. Todos los clientes serán referidos por un ubicación (x,y) que corresponde a un nodo.
Las dimensiones de la ciudad serán de 70Km de lado x 50Km de lado. Asuma que el eje X, será el de 70Km. La distancia entre nodo y nodo es de 1Km. Se establece que el origen de coordenadas será el punto 0, 0 que se ubicará en la parte inferior izquierda.</t>
  </si>
  <si>
    <t>¿Se presenta cada almacén/oficina principal  con un ícono idóneo que contrasta con el mapa?</t>
  </si>
  <si>
    <t>20260915:TM11</t>
  </si>
  <si>
    <t>¿Se observa el stock actual de cada almacén/oficina principal en números (o porcentaje) en el mapa? ¿al pasar el mouse?</t>
  </si>
  <si>
    <t>¿Se observa el stock actual de cada almacén/oficina principal en colores (semáforo) en el mapa?</t>
  </si>
  <si>
    <t>¿Se presenta en cada almacén/oficina principal la lista de pedidos/envíos/productos planificados que salen? ¿al pasar el mouse?</t>
  </si>
  <si>
    <t>20260918:TM03</t>
  </si>
  <si>
    <t>¿Se presenta en cada almacén/oficina principal la lista de unidades de transporte que salen? ¿al pasar el mouse?</t>
  </si>
  <si>
    <t>¿dónde están los almacenes?</t>
  </si>
  <si>
    <t>¿Se presenta en cada almacén/oficina principal la lista de unidades de transporte que arriban? ¿al pasar el mouse?</t>
  </si>
  <si>
    <t>20260919:TA07</t>
  </si>
  <si>
    <t>¿Se presenta cada almacén/oficina intermedio/oficina de paso en el punto previsto en el mapa y etiquetado?</t>
  </si>
  <si>
    <t>El almacén central está ubicado en la posición X=25, Y=15.
El almacén intermedio Nor-Oeste está en la posición X= 12, Y= 38.
El almacén intermedio Este está en la posición X= 55, Y= 27</t>
  </si>
  <si>
    <t>20260920:TB07</t>
  </si>
  <si>
    <t>¿Se presenta cada almacén/oficina intermedio/oficina de paso con un ícono idóneo que contrasta con el mapa?</t>
  </si>
  <si>
    <t>20260921:TM13</t>
  </si>
  <si>
    <t>¿Se observa el stock actual de cada almacén/oficina intermedio en números (o porcentaje) en el mapa? ¿al pasar el mouse?</t>
  </si>
  <si>
    <t>¿Se observa el stock actual de cada almacén/oficina intermedio en colores (semáforo) en el mapa?</t>
  </si>
  <si>
    <t>20260924:TM05</t>
  </si>
  <si>
    <t>El almacén central está ubicado en la posición X=27, Y=14.
El almacén intermedio Nor-Oeste está en la posición X= 12, Y= 38.
El almacén intermedio Este está en la posición X= 57, Y= 27</t>
  </si>
  <si>
    <t>¿Se presenta en cada almacén/oficina intermedio/oficina de paso la lista de pedidos/envíos/productos que arriban? ¿al pasar el mouse?</t>
  </si>
  <si>
    <t>CAMBIO</t>
  </si>
  <si>
    <t>¿Se presenta en cada almacén/oficina intermedio/oficina de paso la lista de unidades de transporte que salen? ¿al pasar el mouse?</t>
  </si>
  <si>
    <t>20260925:TA09</t>
  </si>
  <si>
    <t>¿Se presenta en cada almacén/oficina intermedio/oficina de paso la lista de unidades de transporte en espera? ¿al pasar el mouse?</t>
  </si>
  <si>
    <t>¿Se presenta los bloqueos en la pantalla?</t>
  </si>
  <si>
    <t>20260926:TB09</t>
  </si>
  <si>
    <t>¿Se emplea un color idóneo para representar el bloqueo?</t>
  </si>
  <si>
    <t>¿Se presenta información relevante del bloqueo? ¿al pasar el mouse?</t>
  </si>
  <si>
    <t>20260928:TM15</t>
  </si>
  <si>
    <t>¿las velocidades son fijas en el tiempo?</t>
  </si>
  <si>
    <t>¿Se emplea un nivel de grosor/ideografo idóneo para presentar el bloqueo?</t>
  </si>
  <si>
    <t>¿Se presenta cada unidad de transporte en el punto previsto en el mapa?</t>
  </si>
  <si>
    <t>20261003:TB10</t>
  </si>
  <si>
    <t>En principio sí. Los equipos deben implementar una solución que permita, por parámetros, cambiar dichos valores. Dicho cambio se puede realizar cuando el software está funcionando (en caliente).</t>
  </si>
  <si>
    <t>¿Se presenta cada unidad de transporte con un ícono idoneo (constrasta) con mapa?</t>
  </si>
  <si>
    <t>20261004:TA02</t>
  </si>
  <si>
    <t>¿Se presenta cada unidad de transporte con un ícono alineado con el tramo?</t>
  </si>
  <si>
    <t>¿Se presenta cada unidad de transporte con un icono coherente con el desplazamiento (dirección, velocidad)?</t>
  </si>
  <si>
    <t>20261005:TB02</t>
  </si>
  <si>
    <t>TM</t>
  </si>
  <si>
    <t>¿Se desplaza la unidad de transporte con fluidez, sin saltos, sin descontrol, sin anomalías?</t>
  </si>
  <si>
    <t>¿Se observa el stock actual de cada unidad de transporte en números (o porcentaje)? ¿al pasar el mouse?</t>
  </si>
  <si>
    <t>20261006:TM08</t>
  </si>
  <si>
    <t>¿Se observa el stock actual de cada unidad de transporte en colores (semáforo)?</t>
  </si>
  <si>
    <t>20261009:TB12</t>
  </si>
  <si>
    <t>¿Se presenta la línea de la ruta que recorre la unidad de transporte?</t>
  </si>
  <si>
    <t>¿Qué son los bloqueos?</t>
  </si>
  <si>
    <t>¿Se presenta la línea de la ruta en un nivel de grosor/ideografo idóneo?</t>
  </si>
  <si>
    <t>20261010:TA04</t>
  </si>
  <si>
    <t>¿Se presenta la línea con colores con sentido semántico (leyenda)?</t>
  </si>
  <si>
    <t>¿Se tiene un mecanismo para presentar/ocultar la línea de la ruta que recorre la unidad de transporte?</t>
  </si>
  <si>
    <t>20261011:TB04</t>
  </si>
  <si>
    <t>20261012:TM10</t>
  </si>
  <si>
    <t>20261015:TM02</t>
  </si>
  <si>
    <t>¿Se presenta la línea de la ruta del tramo actual borrando lo recorrido?</t>
  </si>
  <si>
    <t>¿Se presenta la fecha hora, minuto y segundo del momento que está simulando?</t>
  </si>
  <si>
    <t>¿Se presenta la fecha hora, minuto y segundo del momento actual (tiempo real)?</t>
  </si>
  <si>
    <t>¿Se presenta el tiempo transcurrido (dd,mm,ss) dentro lo simulado?</t>
  </si>
  <si>
    <t>Los bloqueos de las calles son situaciones que ocurren por lo cual no es posible el acceso vehícular en algunos tramos de la pista. 
Dichos tramos bloqueados están identificado por un par de puntos extremos (nodos). Un nodo (una esquina o un extremo del tramo) bloqueado no se puede atravesar y no se permite girar a los lados. Por ello, si una unidad de transporte llega a un nodo bloqueado, debe regresar por el mismo lugar por el que llegó (media vuelta o vuelta en U).
Para el curso se asumirá que sólo existen bloqueos planificados con antelación. No hay bloqueos fortuitos por ninguna razón (p.e. accidentes, caida de postes, etc). 
Las calles se bloquean durante un periodo de tiempo planificado por la municipalidad.  Se tendrá un archivo mensual con dicha planificación (aaaamm.bloqueado.txt).
Los bloqueos que se definan pueden ser como un polígono abierto o polígono cerrado. Para el caso de un polígono abierto, se tendrá que siempre es posible llegar a todos los puntos de la poligonal. Para el caso de un polígono cerrado, sólo serán del tipo convexo; por lo que algunos puntos no serán alcanzados.
Sin embargo, para el curso 1INF54 del 2026-2, se trabajará unicamente con polígonos abiertos.
Archivo de bloqueos
El nombre del archivo de calles bloqueadas es:
Nombre: aaaamm.bloqueadas
donde aaaa = año = 2026, 2027 y 2028
mm = mes 01 para enero, 02 para febrero, así sucesivamente
Se les entregará, al menos, un año de calles bloquedas. En caso necesario, pueden extender los mismos archivos para el siguiente año.
No se van a considerar otros tipos de bloqueos ni tampoco las generadas por las averías. Esto último punto significa que si una unidad de transporte se averia, la vía sigue habilitada para que otras unidades de transporte circulen sin problemas por ahí.</t>
  </si>
  <si>
    <t>¿Se presenta el tiempo transcurrido (dd, mm,ss) del momento actual (tiempo real)?</t>
  </si>
  <si>
    <t>La estructura del archivo de bloqueo de calles es:
Registro:     ##d##h##m-##d##h##m:x1,y1,x2,y2,x3,y3,x4,y4......xn,yn
                     01d06h00m-01d15h00m:31,21,34,21
     1er ##d##h##m se refiere al momento de inicio del bloqueo
     2do ##d##h##m se refiere al momento de fin del bloqueo
     ##d##h##m  significa: 
             ##d = día : 01d, 02d, 03d, 24d, ..
             ##h = hora: 00h, 01h, 02h, 03h,.... 10h, 17h
             ##m= minuto: 00m, 01m, 02m, 03m, ... 10m, 11m, ...58m, 59m
     Xi,Yi representa el nodo, expresado como coordenada X,Y.
P1 = x1,y1 punto inicial del primer tramo de nodos bloqueados
P2 = x2,y2 punto final del primer tramo de nodos bloqueados e inicio del segundo tramo de nodos bloqueados (en caso existan más Puntos P)
P3 = x3,y3 punto final del segundo tramo de nodos bloqueados e inicio del tercer tramo de nodos bloqueados (en caso existan más Puntos P)
El registro tiene inicio (primer dd:hh:mm) y fin (segundo dd:hh:mm) de periodo donde los nodos estarán bloqueados.</t>
  </si>
  <si>
    <t>¿Se presenta un bloque con estos tiempos con un tamaño de fuente pertinente en un lugar adecuado en el mapa?</t>
  </si>
  <si>
    <t>Se ha publicado los archivos en el área de datos. Verifique lo indicado en la respuesta.</t>
  </si>
  <si>
    <t>¿Se presenta datos de nivel de llenado/dispobilidad de la flota total en números (porcentaje)?</t>
  </si>
  <si>
    <t>20261016:TA06</t>
  </si>
  <si>
    <t>20261017:TB06</t>
  </si>
  <si>
    <t>20261018:TM12</t>
  </si>
  <si>
    <t>¿Cómo es el archivo histórico de pedidos?</t>
  </si>
  <si>
    <t>¿Se presenta datos de nivel de llenado/dispobilidad de la flota total en colores (semáforo)?</t>
  </si>
  <si>
    <t>20261021:TM04</t>
  </si>
  <si>
    <t>¿Se presenta datos de nivel de llenado/dispobilidad de la flota en tránsito?</t>
  </si>
  <si>
    <t>20261022:TA08</t>
  </si>
  <si>
    <t>¿Se presenta datos de nivel de llenado/dispobilidad de almacenes en números (porcentaje)?</t>
  </si>
  <si>
    <t>20261023:TB08</t>
  </si>
  <si>
    <t>El archivo histórico y proyectado de envíos es mensual. Se considera histórico a cualquier pedido/envío que sea anterior al instante del tiempo actual. 
El archivo cumple con lo siguiente:
Nombre de archivo : ventas2026mm  mm=mes (01 para enero, 02 para febrero, así sucesivamente)
Registro: ##d##h##m:posx,posY,cIdCliente,qq,hl
Ejemplo: 11d13h31m:45,43,c9167,12,36
##d##h##m es el día, hora y minuto en que el pedido llegó; en el ejemplo es 11d13h31m
posX,posY es la ubicación de la entrega, en el ejemplo es 45,43
cIdCliente es el identificador del cliente  c9167
qq es la cantidad de unidades de producto P, en el caso qq=12
hl, el número de horas límite de la entrega, en el ejemplo 36</t>
  </si>
  <si>
    <t>20261024:TM14</t>
  </si>
  <si>
    <t>20261027:TM06</t>
  </si>
  <si>
    <t>¿Se presenta datos de nivel de llenado/dispobilidad de almacenes en colores (semáforo)?</t>
  </si>
  <si>
    <t>20261028:TA10</t>
  </si>
  <si>
    <t>¿Se avería y se ve en el mapa una unidad de transporte averiada? Tipo 1</t>
  </si>
  <si>
    <t>¿Se avería y se ve en el mapa una unidad de transporte averiada? Tipo 2</t>
  </si>
  <si>
    <t>¿Se avería y se ve en el mapa una unidad de transporte averiada? Tipo 3</t>
  </si>
  <si>
    <t>MAPA ENLAZADO AL PANEL BIDIRECCIONAL</t>
  </si>
  <si>
    <t>¿Se selecciona almacén/oficina principal desde el mapa y abre el panel?</t>
  </si>
  <si>
    <t>¿El tamaño de la flota es fija en el tiempo?</t>
  </si>
  <si>
    <t>¿Se selecciona almacén/oficina intermedio/oficina de paso desde el mapa y abre el panel?</t>
  </si>
  <si>
    <t>¿Se selecciona unidad de transporte desde el mapa y abre el panel?</t>
  </si>
  <si>
    <t>En principio si. Sólo se puede cambiar de flota al inicio de una ejecución de la solución.</t>
  </si>
  <si>
    <t>¿Se selecciona bloqueo desde el mapa y abre el panel?</t>
  </si>
  <si>
    <t>¿Se selecciona almacén/oficina principal desde el panel y abre el mapa?</t>
  </si>
  <si>
    <t>¿Se selecciona almacén/oficina intermedio/oficina de paso desde el panel y abre el mapa?</t>
  </si>
  <si>
    <t>¿Se selecciona unidad de transporte desde el panel y abre el mapa?</t>
  </si>
  <si>
    <t>¿Se selecciona bloqueo desde el panel y abre el mapa?</t>
  </si>
  <si>
    <t>¿Todas las unidades de transporte salen del mismo almacen?</t>
  </si>
  <si>
    <t>¿Se selecciona unidad averiada Tipo 1 de una unidad de transporte y abre el mapa?</t>
  </si>
  <si>
    <t>Al inicio de cualquier de los escenarios (fecha-hora), todas las unidades de transporte salén del almacén central. 
Cualquier unidad de transporte puede recargar en cualquier almacén mientras tengan stock. .
Todos las unidades de transporte ....retornan para recarga a cualquier almacen.
Las unidades de transporte no pueden regresar a un almance que no tienen stock.</t>
  </si>
  <si>
    <t>¿Se selecciona unidad averiada Tipo 2 de una unidad de transporte y abre el mapa?</t>
  </si>
  <si>
    <t>¿Se selecciona unidad averiada Tipo 3 de una unidad de transporte y abre el mapa?</t>
  </si>
  <si>
    <t>PANEL (puede ser uno o más)</t>
  </si>
  <si>
    <t>¿El tiempo de entrega de 1 hora está dentro o fuera del plazo de 36horas o los plazos priorizados?</t>
  </si>
  <si>
    <t>¿Se presenta el stock actual de cada almacén en números (o porcentaje)?</t>
  </si>
  <si>
    <t>¿Se presenta el stock actual de cada almacén en colores (semáforo)?</t>
  </si>
  <si>
    <t>No. El tiempo de entrega (operación/acondicionamiento) dentro de las instalaciones del cliente no se considera dentro del plazo de entrega de 36 horas o los plazos priorizados.</t>
  </si>
  <si>
    <t>¿Se busca un almacén/oficina principal?</t>
  </si>
  <si>
    <t>¿Se presenta para cada almacén/oficina intermedio/oficina de paso su ubicación en el mapa?</t>
  </si>
  <si>
    <t>¿Se presenta la lista de bloqueos según hora y ubicación?</t>
  </si>
  <si>
    <t>¿Se presenta la lista de vuelos cancelados según hora y ubicación de origen (aeropuerto/terminal)?</t>
  </si>
  <si>
    <t>¿Se presenta una lista de pedidos/envíos/productos planificados?</t>
  </si>
  <si>
    <t>¿Cómo se hace con los choferes cuando la ruta asignada trasciende su turno.....?</t>
  </si>
  <si>
    <t>¿Se presenta para cada pedido/envío/producto planificado las unidades de transporte que lo atienden?</t>
  </si>
  <si>
    <t>¿Se puede ver la ruta que sigue un pedido/envío/producto planificado? Si está fraccionado, se ve más de una ruta</t>
  </si>
  <si>
    <t>El conductor da el alcance a la unidad de transporte en el punto en que cambia de turno.  El tiempo  de cambio del conductor es despreciable.</t>
  </si>
  <si>
    <t>¿Se busca un pedido/envío/producto planificado?</t>
  </si>
  <si>
    <t>¿Se busca un pedido/envío/producto entregado?</t>
  </si>
  <si>
    <t>¿Se presenta un lista de unidad de transporte?</t>
  </si>
  <si>
    <t>¿Se presenta un lista de unidad de transporte con stock/carga actual?</t>
  </si>
  <si>
    <t>¿Se puede ver para una unidad de transporte las ruta planificadas?</t>
  </si>
  <si>
    <t>¿Se puede ver para una unidad de transporte los pedidos asignados?</t>
  </si>
  <si>
    <t>¿Se puede buscar una unidad de transporte?</t>
  </si>
  <si>
    <t>¿Hay entregas parciales?</t>
  </si>
  <si>
    <t>¿Se queda 15 min en el cliente a la entrega de producto/pedido/envío?</t>
  </si>
  <si>
    <t>A</t>
  </si>
  <si>
    <t>Sí.</t>
  </si>
  <si>
    <t>¿Se aprecia si una unidad de transporte está operativo, mantenimiento o averiado u otros?</t>
  </si>
  <si>
    <t>¿Se ve el periodo en que una unidad de transporte está en mantenimiento, averiado, no disponible u otros?</t>
  </si>
  <si>
    <t>25,45,45,45,45,40,</t>
  </si>
  <si>
    <t>¿Se ve ista de unidades de transporte averiada Tipo 1?</t>
  </si>
  <si>
    <t>¿Se ve ista de unidades de transporte averiada Tipo 2?</t>
  </si>
  <si>
    <t>¿Se ve ista de unidades de transporte averiada Tipo 3?</t>
  </si>
  <si>
    <t>OTROS</t>
  </si>
  <si>
    <t>¿Cómo se maneja los bloqueos en el planificador? Por Hora / Por horario Salto-datos</t>
  </si>
  <si>
    <t>Presenta el reporte final. .....  La última planificación completa en todos los escenarios</t>
  </si>
  <si>
    <t>PERCEPCIÓN FINAL</t>
  </si>
  <si>
    <t xml:space="preserve">En el caso que se tengan entregas parciales ¿cómo se maneja la hora de acondicionamiento del productop P? </t>
  </si>
  <si>
    <t>Percepción global del software. FORTALEZA</t>
  </si>
  <si>
    <t>Percepción global del software. OPORTUNIDAD DE MEJORA</t>
  </si>
  <si>
    <t>El tiempo de acondicionamiento del producto P es de 1 hora por entrega. 
Ejemplo 1. Si en la entrega se dejan 5 productos P, el aconcionamiento de dicha entrega es de 1 hora.
Ejemplo 2. Si la entrega llega en, al menos, dos unidades, una de 2 productos y otra de 3 productos. El tiempo de acondicionamiento de la 1era entrega (2 productos) es de 1 hora y el tiempo de acondicionamiento de la 2da entrega (3 productos) es de 1 hora.
Entonces por cada entrega parcial, siempre se toma "solamente" 1 hora independiente de la cantidad de productos.</t>
  </si>
  <si>
    <t>Video de simulación semanal</t>
  </si>
  <si>
    <t>XpoSTEM</t>
  </si>
  <si>
    <t>H</t>
  </si>
  <si>
    <t>¿El cambio de velocidad en caliente es por la unidad o por el tipo de vehículo?</t>
  </si>
  <si>
    <t>Por tipo de unidad.</t>
  </si>
  <si>
    <t>Posición final</t>
  </si>
  <si>
    <t>B</t>
  </si>
  <si>
    <t>10,20,40,20,40,35,</t>
  </si>
  <si>
    <t>¿El cambio de velocidad en caliente aplica desde la salida o a los que están en ruta?</t>
  </si>
  <si>
    <r>
      <rPr>
        <rFont val="Arial"/>
        <color theme="1"/>
        <sz val="9.0"/>
      </rPr>
      <t>En principio aplica una vez que se graba la nueva velocidad en el sistema.
A nivel de implementación, considerar que se aplica para la siguiente iteración de planificación. 
Por ejemplo: En una simulación 5D, se puede cambiar la velocidad en el día 3d 10h12m y el nuevo valor aplica en la siguiente iteración dentro de dicha simulación.</t>
    </r>
    <r>
      <rPr>
        <rFont val="Arial"/>
        <b/>
        <color theme="1"/>
        <sz val="9.0"/>
      </rPr>
      <t xml:space="preserve">
</t>
    </r>
    <r>
      <rPr>
        <rFont val="Arial"/>
        <color theme="1"/>
        <sz val="9.0"/>
      </rPr>
      <t>Tener en cuenta que todo vehículo en el almacén o en ruta es vuelto a planificar en cada iteración, al margen que luego de la planificación mantenga la misma ruta o cambie.</t>
    </r>
  </si>
  <si>
    <t>Pueden volver a preguntar luego vean el video de cómo idear la simulación consumiendo los datos y no el tiempo.</t>
  </si>
  <si>
    <t>C</t>
  </si>
  <si>
    <t>05,20,05,35,</t>
  </si>
  <si>
    <t>¿Cuál es el tamaño de la flota?</t>
  </si>
  <si>
    <t xml:space="preserve">Se ha incluido la hoja Flota para ver lo considerado.
</t>
  </si>
  <si>
    <t>¿Cómo se identifica la flota?</t>
  </si>
  <si>
    <t>D</t>
  </si>
  <si>
    <t>Los códigos de las unidades de transporte son:  TTNN
  donde TT es el tipo y NN es un correlativo.
  ejemplos:
       TA01  es la unidad  01 del tipo Autos
       TB10  es la unidad 10 del tipo Bicicletas
       TM03 es la unidad 03 del tipo Moto
Recuerde que la flota puede cambiar en cualquier momento, pero NO durante una presentación del software.</t>
  </si>
  <si>
    <t>15,10,30,10,30,18,</t>
  </si>
  <si>
    <t>¿Cuál es el plan de mantenimiento</t>
  </si>
  <si>
    <t>El nombre del archivo de mantenimiento preventido es:
Nombre: mant.preventivo.m1.m2  donde m1 es el primer mes y m2 el segundo. P.e. 09.10 (setiembre y octubre)
Registro: aaaammdd:TTNN
ejemplo:      aaaa = año
                      mm   = mes (01, 02, 03, ...)
                      dd   = día (01, 02, 03, ...)
                      TT   = Tipo (TA, TB, ...)
                      NN   = Numero (01, 02, ...)
Nota 1. Una unidad de transporte programado para mantenimiento NO estará disponible para programación de rutas desde las 00:00 hasta las 23:59.
Nota 2. Si un tanque cisterna está en ruta, al inicio de su mantenimiento, debe retornar de inmediato a las 00:00, incluso si no ha entregado un pedido. En realidad eso deben evitarlo en la planificación.
El archivo está en la zona de datos. Debe generar el resto de archivos para cubrir el siguiente periodo. 01 Ene 2026 hasta 31 Dic 2029.</t>
  </si>
  <si>
    <t>El plan de manteniemiento es bimensual (vale para dos meses) y se repite cada 2 meses. Por ejemplo  para septiembre, octubre, el siguiente:
Plan
20260901:TA01
20260902:TB01
20260903:TM07
20260906:TB11
20260907:TA03
20260908:TB03
20260909:TM09
20260912:TM01
20260913:TA05
20260914:TB05</t>
  </si>
  <si>
    <t>20260915:TM11
20260918:TM03
20260919:TA07
20260920:TB07
20260921:TM13
20260924:TM05
20260925:TA09
20260926:TB09
20260928:TM15
20261003:TB10
20261004:TA02
20261005:TB02
20261006:TM08
20261009:TB12</t>
  </si>
  <si>
    <t>20261010:TA04
20261011:TB04
20261012:TM10
20261015:TM02
20261016:TA06
20261017:TB06
20261018:TM12
20261021:TM04
20261022:TA08
20261023:TB08
20261024:TM14
20261027:TM06
20261028:TA10</t>
  </si>
  <si>
    <t>E</t>
  </si>
  <si>
    <t>15,40,27,40,</t>
  </si>
  <si>
    <t>¿...?</t>
  </si>
  <si>
    <t>F</t>
  </si>
  <si>
    <t>08,03,08,23,20,23,</t>
  </si>
  <si>
    <t>I</t>
  </si>
  <si>
    <t>G</t>
  </si>
  <si>
    <t>60,10,60,25,</t>
  </si>
  <si>
    <t>57,30,57,45,</t>
  </si>
  <si>
    <t>NO</t>
  </si>
  <si>
    <t>15,25,15,30,20,30,20,35,30,35,30,40,</t>
  </si>
  <si>
    <t>¿ s?</t>
  </si>
  <si>
    <t>M</t>
  </si>
  <si>
    <t>J</t>
  </si>
  <si>
    <t>25,25,30,25,30,30,35,30,</t>
  </si>
  <si>
    <t>K</t>
  </si>
  <si>
    <t>15,03,22,03,22,08,37,08,37,12,</t>
  </si>
  <si>
    <t>L</t>
  </si>
  <si>
    <t>42,08,42,15,47,15,47,27,55,27,</t>
  </si>
  <si>
    <t>67,37,67,22,</t>
  </si>
  <si>
    <t>N</t>
  </si>
  <si>
    <t>17,15,25,15,</t>
  </si>
  <si>
    <t>O</t>
  </si>
  <si>
    <t>50,10,55,10,55,25</t>
  </si>
  <si>
    <t>Límite</t>
  </si>
  <si>
    <t>Central</t>
  </si>
  <si>
    <t>Nor-Oeste</t>
  </si>
  <si>
    <t>Este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</si>
</sst>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quot; &quot;dd&quot;-&quot;mmm&quot;-&quot;yyyy&quot; &quot;hh&quot;:&quot;mm"/>
    <numFmt numFmtId="165" formatCode="ddd&quot; &quot;dd&quot;-&quot;mmm&quot;-&quot;yyyy&quot;//&quot;hh&quot;:&quot;mm"/>
  </numFmts>
  <fonts count="45">
    <font>
      <sz val="10.0"/>
      <color rgb="FF000000"/>
      <name val="Arial"/>
      <scheme val="minor"/>
    </font>
    <font>
      <sz val="12.0"/>
      <color theme="1"/>
      <name val="Calibri"/>
    </font>
    <font>
      <color theme="1"/>
      <name val="Arial"/>
    </font>
    <font>
      <sz val="8.0"/>
      <color theme="1"/>
      <name val="Calibri"/>
    </font>
    <font>
      <b/>
      <sz val="10.0"/>
      <color theme="1"/>
      <name val="Calibri"/>
    </font>
    <font>
      <sz val="8.0"/>
      <color theme="1"/>
      <name val="Arial"/>
    </font>
    <font>
      <b/>
      <sz val="10.0"/>
      <color rgb="FF0000FF"/>
      <name val="Calibri"/>
    </font>
    <font>
      <b/>
      <sz val="7.0"/>
      <color theme="1"/>
      <name val="Arial"/>
      <scheme val="minor"/>
    </font>
    <font>
      <b/>
      <color theme="1"/>
      <name val="Arial"/>
    </font>
    <font>
      <sz val="10.0"/>
      <color theme="1"/>
      <name val="Calibri"/>
    </font>
    <font>
      <sz val="7.0"/>
      <color theme="1"/>
      <name val="Arial"/>
      <scheme val="minor"/>
    </font>
    <font>
      <b/>
      <sz val="8.0"/>
      <color rgb="FFFF0000"/>
      <name val="Arial"/>
    </font>
    <font>
      <b/>
      <i/>
      <sz val="10.0"/>
      <color rgb="FFFFFFFF"/>
      <name val="Calibri"/>
    </font>
    <font>
      <b/>
      <sz val="12.0"/>
      <color theme="1"/>
      <name val="Calibri"/>
    </font>
    <font>
      <b/>
      <sz val="8.0"/>
      <color theme="1"/>
      <name val="Calibri"/>
    </font>
    <font>
      <b/>
      <sz val="10.0"/>
      <color rgb="FF000000"/>
      <name val="Calibri"/>
    </font>
    <font>
      <sz val="8.0"/>
      <color rgb="FF0000FF"/>
      <name val="Arial"/>
    </font>
    <font>
      <b/>
      <sz val="8.0"/>
      <color rgb="FF0000FF"/>
      <name val="Arial"/>
    </font>
    <font>
      <b/>
      <sz val="8.0"/>
      <color theme="1"/>
      <name val="Arial"/>
    </font>
    <font>
      <sz val="11.0"/>
      <color rgb="FF000000"/>
      <name val="Inconsolata"/>
    </font>
    <font>
      <sz val="8.0"/>
      <color rgb="FFFFFF00"/>
      <name val="Arial"/>
    </font>
    <font>
      <b/>
      <sz val="8.0"/>
      <color rgb="FF000000"/>
      <name val="Calibri"/>
    </font>
    <font>
      <b/>
      <sz val="9.0"/>
      <color rgb="FF0000FF"/>
      <name val="Calibri"/>
    </font>
    <font>
      <sz val="9.0"/>
      <color theme="1"/>
      <name val="Calibri"/>
    </font>
    <font>
      <b/>
      <strike/>
      <sz val="9.0"/>
      <color rgb="FF0000FF"/>
      <name val="Calibri"/>
    </font>
    <font>
      <sz val="9.0"/>
      <color theme="1"/>
      <name val="Arial"/>
    </font>
    <font>
      <strike/>
      <sz val="9.0"/>
      <color rgb="FFFF0000"/>
      <name val="Calibri"/>
    </font>
    <font>
      <color theme="1"/>
      <name val="Arial"/>
      <scheme val="minor"/>
    </font>
    <font>
      <color theme="1"/>
      <name val="Times New Roman"/>
    </font>
    <font>
      <b/>
      <sz val="8.0"/>
      <color rgb="FFFFFF00"/>
      <name val="Arial"/>
    </font>
    <font>
      <b/>
      <sz val="9.0"/>
      <color rgb="FFFF0000"/>
      <name val="Arial"/>
    </font>
    <font>
      <strike/>
      <sz val="9.0"/>
      <color theme="1"/>
      <name val="Arial"/>
    </font>
    <font>
      <b/>
      <sz val="11.0"/>
      <color rgb="FFFF0000"/>
      <name val="Arial"/>
      <scheme val="minor"/>
    </font>
    <font>
      <sz val="9.0"/>
      <color theme="1"/>
      <name val="Arial"/>
      <scheme val="minor"/>
    </font>
    <font>
      <sz val="9.0"/>
      <color rgb="FF000000"/>
      <name val="Arial"/>
    </font>
    <font>
      <color rgb="FFFFFF00"/>
      <name val="Arial"/>
    </font>
    <font>
      <i/>
      <sz val="9.0"/>
      <color theme="1"/>
      <name val="Calibri"/>
    </font>
    <font>
      <b/>
      <sz val="8.0"/>
      <color rgb="FF0000FF"/>
      <name val="Calibri"/>
    </font>
    <font>
      <sz val="10.0"/>
      <color rgb="FF000000"/>
      <name val="Calibri"/>
    </font>
    <font>
      <sz val="10.0"/>
      <color rgb="FFFF0000"/>
      <name val="Calibri"/>
    </font>
    <font>
      <sz val="10.0"/>
      <color rgb="FF0000FF"/>
      <name val="Calibri"/>
    </font>
    <font>
      <b/>
      <sz val="7.0"/>
      <color rgb="FFFFFF00"/>
      <name val="Arial"/>
      <scheme val="minor"/>
    </font>
    <font>
      <sz val="10.0"/>
      <color rgb="FF434343"/>
      <name val="Calibri"/>
    </font>
    <font>
      <b/>
      <i/>
      <sz val="10.0"/>
      <color rgb="FFFF0000"/>
      <name val="Calibri"/>
    </font>
    <font>
      <sz val="7.0"/>
      <color rgb="FF0000FF"/>
      <name val="Arial"/>
      <scheme val="minor"/>
    </font>
  </fonts>
  <fills count="34">
    <fill>
      <patternFill patternType="none"/>
    </fill>
    <fill>
      <patternFill patternType="lightGray"/>
    </fill>
    <fill>
      <patternFill patternType="solid">
        <fgColor rgb="FF00FF00"/>
        <bgColor rgb="FF00FF00"/>
      </patternFill>
    </fill>
    <fill>
      <patternFill patternType="solid">
        <fgColor rgb="FF000000"/>
        <bgColor rgb="FF000000"/>
      </patternFill>
    </fill>
    <fill>
      <patternFill patternType="solid">
        <fgColor rgb="FF00FFFF"/>
        <bgColor rgb="FF00FFFF"/>
      </patternFill>
    </fill>
    <fill>
      <patternFill patternType="solid">
        <fgColor rgb="FFCCCCCC"/>
        <bgColor rgb="FFCCCCCC"/>
      </patternFill>
    </fill>
    <fill>
      <patternFill patternType="solid">
        <fgColor rgb="FFFFFF00"/>
        <bgColor rgb="FFFFFF00"/>
      </patternFill>
    </fill>
    <fill>
      <patternFill patternType="solid">
        <fgColor rgb="FFC9DAF8"/>
        <bgColor rgb="FFC9DAF8"/>
      </patternFill>
    </fill>
    <fill>
      <patternFill patternType="solid">
        <fgColor rgb="FFA4C2F4"/>
        <bgColor rgb="FFA4C2F4"/>
      </patternFill>
    </fill>
    <fill>
      <patternFill patternType="solid">
        <fgColor rgb="FFB6D7A8"/>
        <bgColor rgb="FFB6D7A8"/>
      </patternFill>
    </fill>
    <fill>
      <patternFill patternType="solid">
        <fgColor rgb="FFD9EAD3"/>
        <bgColor rgb="FFD9EAD3"/>
      </patternFill>
    </fill>
    <fill>
      <patternFill patternType="solid">
        <fgColor rgb="FF434343"/>
        <bgColor rgb="FF434343"/>
      </patternFill>
    </fill>
    <fill>
      <patternFill patternType="solid">
        <fgColor rgb="FFCFE2F3"/>
        <bgColor rgb="FFCFE2F3"/>
      </patternFill>
    </fill>
    <fill>
      <patternFill patternType="solid">
        <fgColor rgb="FFA2C4C9"/>
        <bgColor rgb="FFA2C4C9"/>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E6B8AF"/>
        <bgColor rgb="FFE6B8AF"/>
      </patternFill>
    </fill>
    <fill>
      <patternFill patternType="solid">
        <fgColor rgb="FFFFD966"/>
        <bgColor rgb="FFFFD966"/>
      </patternFill>
    </fill>
    <fill>
      <patternFill patternType="solid">
        <fgColor rgb="FFF6B26B"/>
        <bgColor rgb="FFF6B26B"/>
      </patternFill>
    </fill>
    <fill>
      <patternFill patternType="solid">
        <fgColor rgb="FFD9D9D9"/>
        <bgColor rgb="FFD9D9D9"/>
      </patternFill>
    </fill>
    <fill>
      <patternFill patternType="solid">
        <fgColor rgb="FFEA9999"/>
        <bgColor rgb="FFEA9999"/>
      </patternFill>
    </fill>
    <fill>
      <patternFill patternType="solid">
        <fgColor rgb="FFB45F06"/>
        <bgColor rgb="FFB45F06"/>
      </patternFill>
    </fill>
    <fill>
      <patternFill patternType="solid">
        <fgColor rgb="FFE06666"/>
        <bgColor rgb="FFE06666"/>
      </patternFill>
    </fill>
    <fill>
      <patternFill patternType="solid">
        <fgColor rgb="FFFF0000"/>
        <bgColor rgb="FFFF0000"/>
      </patternFill>
    </fill>
    <fill>
      <patternFill patternType="solid">
        <fgColor rgb="FFDD7E6B"/>
        <bgColor rgb="FFDD7E6B"/>
      </patternFill>
    </fill>
    <fill>
      <patternFill patternType="solid">
        <fgColor rgb="FFE69138"/>
        <bgColor rgb="FFE69138"/>
      </patternFill>
    </fill>
    <fill>
      <patternFill patternType="solid">
        <fgColor rgb="FFD5A6BD"/>
        <bgColor rgb="FFD5A6BD"/>
      </patternFill>
    </fill>
    <fill>
      <patternFill patternType="solid">
        <fgColor rgb="FF8E7CC3"/>
        <bgColor rgb="FF8E7CC3"/>
      </patternFill>
    </fill>
    <fill>
      <patternFill patternType="solid">
        <fgColor rgb="FF93C47D"/>
        <bgColor rgb="FF93C47D"/>
      </patternFill>
    </fill>
    <fill>
      <patternFill patternType="solid">
        <fgColor rgb="FF6AA84F"/>
        <bgColor rgb="FF6AA84F"/>
      </patternFill>
    </fill>
    <fill>
      <patternFill patternType="solid">
        <fgColor rgb="FFB4A7D6"/>
        <bgColor rgb="FFB4A7D6"/>
      </patternFill>
    </fill>
    <fill>
      <patternFill patternType="solid">
        <fgColor rgb="FF674EA7"/>
        <bgColor rgb="FF674EA7"/>
      </patternFill>
    </fill>
  </fills>
  <borders count="3">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2" numFmtId="0" xfId="0" applyAlignment="1" applyFont="1">
      <alignment vertical="top"/>
    </xf>
    <xf borderId="0" fillId="3" fontId="2" numFmtId="0" xfId="0" applyAlignment="1" applyFill="1" applyFont="1">
      <alignment vertical="top"/>
    </xf>
    <xf borderId="0" fillId="4" fontId="3" numFmtId="164" xfId="0" applyAlignment="1" applyFill="1" applyFont="1" applyNumberFormat="1">
      <alignment horizontal="left" readingOrder="0" shrinkToFit="0" vertical="top" wrapText="1"/>
    </xf>
    <xf borderId="0" fillId="0" fontId="4" numFmtId="0" xfId="0" applyAlignment="1" applyFont="1">
      <alignment horizontal="center" readingOrder="0" shrinkToFit="0" vertical="top" wrapText="1"/>
    </xf>
    <xf borderId="1" fillId="5" fontId="5" numFmtId="0" xfId="0" applyAlignment="1" applyBorder="1" applyFill="1" applyFont="1">
      <alignment horizontal="center" readingOrder="0" vertical="top"/>
    </xf>
    <xf borderId="0" fillId="0" fontId="2" numFmtId="0" xfId="0" applyAlignment="1" applyFont="1">
      <alignment vertical="bottom"/>
    </xf>
    <xf borderId="1" fillId="6" fontId="5" numFmtId="0" xfId="0" applyAlignment="1" applyBorder="1" applyFill="1" applyFont="1">
      <alignment horizontal="center" readingOrder="0" vertical="top"/>
    </xf>
    <xf borderId="0" fillId="2" fontId="6" numFmtId="0" xfId="0" applyAlignment="1" applyFill="1" applyFont="1">
      <alignment readingOrder="0" shrinkToFit="0" vertical="top" wrapText="0"/>
    </xf>
    <xf borderId="0" fillId="0" fontId="7" numFmtId="0" xfId="0" applyAlignment="1" applyFont="1">
      <alignment horizontal="center" vertical="center"/>
    </xf>
    <xf borderId="0" fillId="0" fontId="4" numFmtId="0" xfId="0" applyAlignment="1" applyFont="1">
      <alignment readingOrder="0" vertical="top"/>
    </xf>
    <xf borderId="1" fillId="7" fontId="8" numFmtId="0" xfId="0" applyAlignment="1" applyBorder="1" applyFill="1" applyFont="1">
      <alignment horizontal="center" vertical="bottom"/>
    </xf>
    <xf borderId="0" fillId="0" fontId="9" numFmtId="0" xfId="0" applyAlignment="1" applyFont="1">
      <alignment readingOrder="0" vertical="top"/>
    </xf>
    <xf borderId="0" fillId="8" fontId="10" numFmtId="0" xfId="0" applyAlignment="1" applyFill="1" applyFont="1">
      <alignment horizontal="center" readingOrder="0" vertical="center"/>
    </xf>
    <xf borderId="0" fillId="0" fontId="9" numFmtId="0" xfId="0" applyAlignment="1" applyFont="1">
      <alignment vertical="top"/>
    </xf>
    <xf borderId="1" fillId="7" fontId="2" numFmtId="0" xfId="0" applyAlignment="1" applyBorder="1" applyFill="1" applyFont="1">
      <alignment horizontal="center" vertical="bottom"/>
    </xf>
    <xf borderId="0" fillId="0" fontId="1" numFmtId="0" xfId="0" applyAlignment="1" applyFont="1">
      <alignment vertical="top"/>
    </xf>
    <xf borderId="1" fillId="7" fontId="2" numFmtId="0" xfId="0" applyAlignment="1" applyBorder="1" applyFill="1" applyFont="1">
      <alignment horizontal="center" readingOrder="0" vertical="bottom"/>
    </xf>
    <xf borderId="1" fillId="6" fontId="11" numFmtId="0" xfId="0" applyAlignment="1" applyBorder="1" applyFill="1" applyFont="1">
      <alignment horizontal="center" readingOrder="0" vertical="top"/>
    </xf>
    <xf borderId="0" fillId="0" fontId="10" numFmtId="0" xfId="0" applyAlignment="1" applyFont="1">
      <alignment horizontal="center" readingOrder="0" vertical="center"/>
    </xf>
    <xf borderId="1" fillId="5" fontId="2" numFmtId="0" xfId="0" applyAlignment="1" applyBorder="1" applyFill="1" applyFont="1">
      <alignment horizontal="center" readingOrder="0" vertical="bottom"/>
    </xf>
    <xf borderId="1" fillId="9" fontId="5" numFmtId="0" xfId="0" applyAlignment="1" applyBorder="1" applyFill="1" applyFont="1">
      <alignment horizontal="center" readingOrder="0" vertical="top"/>
    </xf>
    <xf borderId="0" fillId="0" fontId="1" numFmtId="0" xfId="0" applyAlignment="1" applyFont="1">
      <alignment readingOrder="0" vertical="top"/>
    </xf>
    <xf borderId="1" fillId="0" fontId="2" numFmtId="0" xfId="0" applyAlignment="1" applyBorder="1" applyFont="1">
      <alignment vertical="bottom"/>
    </xf>
    <xf borderId="1" fillId="3" fontId="2" numFmtId="0" xfId="0" applyAlignment="1" applyBorder="1" applyFill="1" applyFont="1">
      <alignment vertical="top"/>
    </xf>
    <xf borderId="1" fillId="0" fontId="2" numFmtId="0" xfId="0" applyAlignment="1" applyBorder="1" applyFont="1">
      <alignment horizontal="center" readingOrder="0" vertical="bottom"/>
    </xf>
    <xf borderId="0" fillId="0" fontId="3" numFmtId="0" xfId="0" applyAlignment="1" applyFont="1">
      <alignment horizontal="left" readingOrder="0" shrinkToFit="0" vertical="top" wrapText="1"/>
    </xf>
    <xf borderId="1" fillId="10" fontId="5" numFmtId="0" xfId="0" applyAlignment="1" applyBorder="1" applyFill="1" applyFont="1">
      <alignment horizontal="center" readingOrder="0" vertical="top"/>
    </xf>
    <xf borderId="0" fillId="0" fontId="9" numFmtId="0" xfId="0" applyAlignment="1" applyFont="1">
      <alignment horizontal="center" shrinkToFit="0" vertical="top" wrapText="1"/>
    </xf>
    <xf borderId="1" fillId="0" fontId="2" numFmtId="0" xfId="0" applyAlignment="1" applyBorder="1" applyFont="1">
      <alignment horizontal="center" vertical="bottom"/>
    </xf>
    <xf borderId="1" fillId="10" fontId="5" numFmtId="0" xfId="0" applyAlignment="1" applyBorder="1" applyFill="1" applyFont="1">
      <alignment readingOrder="0" vertical="top"/>
    </xf>
    <xf borderId="0" fillId="11" fontId="12" numFmtId="0" xfId="0" applyAlignment="1" applyFill="1" applyFont="1">
      <alignment readingOrder="0" shrinkToFit="0" vertical="top" wrapText="1"/>
    </xf>
    <xf borderId="0" fillId="9" fontId="6" numFmtId="0" xfId="0" applyAlignment="1" applyFill="1" applyFont="1">
      <alignment readingOrder="0" shrinkToFit="0" vertical="top" wrapText="0"/>
    </xf>
    <xf borderId="1" fillId="10" fontId="2" numFmtId="0" xfId="0" applyAlignment="1" applyBorder="1" applyFill="1" applyFont="1">
      <alignment vertical="top"/>
    </xf>
    <xf borderId="0" fillId="12" fontId="13" numFmtId="0" xfId="0" applyAlignment="1" applyFill="1" applyFont="1">
      <alignment horizontal="left" vertical="top"/>
    </xf>
    <xf borderId="0" fillId="12" fontId="14" numFmtId="0" xfId="0" applyAlignment="1" applyFill="1" applyFont="1">
      <alignment horizontal="left" shrinkToFit="0" vertical="top" wrapText="1"/>
    </xf>
    <xf borderId="0" fillId="12" fontId="15" numFmtId="0" xfId="0" applyAlignment="1" applyFill="1" applyFont="1">
      <alignment horizontal="center" readingOrder="0" shrinkToFit="0" vertical="top" wrapText="1"/>
    </xf>
    <xf borderId="0" fillId="12" fontId="15" numFmtId="0" xfId="0" applyAlignment="1" applyFill="1" applyFont="1">
      <alignment horizontal="left" readingOrder="0" shrinkToFit="0" vertical="top" wrapText="1"/>
    </xf>
    <xf borderId="0" fillId="10" fontId="6" numFmtId="0" xfId="0" applyAlignment="1" applyFill="1" applyFont="1">
      <alignment horizontal="left" readingOrder="0" shrinkToFit="0" vertical="top" wrapText="0"/>
    </xf>
    <xf borderId="1" fillId="9" fontId="16" numFmtId="0" xfId="0" applyAlignment="1" applyBorder="1" applyFill="1" applyFont="1">
      <alignment horizontal="center" readingOrder="0" vertical="top"/>
    </xf>
    <xf borderId="1" fillId="9" fontId="17" numFmtId="0" xfId="0" applyAlignment="1" applyBorder="1" applyFill="1" applyFont="1">
      <alignment horizontal="center" readingOrder="0" vertical="top"/>
    </xf>
    <xf borderId="1" fillId="5" fontId="18" numFmtId="0" xfId="0" applyAlignment="1" applyBorder="1" applyFill="1" applyFont="1">
      <alignment horizontal="center" readingOrder="0" vertical="top"/>
    </xf>
    <xf borderId="1" fillId="5" fontId="2" numFmtId="0" xfId="0" applyAlignment="1" applyBorder="1" applyFill="1" applyFont="1">
      <alignment horizontal="center" vertical="bottom"/>
    </xf>
    <xf borderId="1" fillId="13" fontId="5" numFmtId="0" xfId="0" applyAlignment="1" applyBorder="1" applyFill="1" applyFont="1">
      <alignment horizontal="center" readingOrder="0" vertical="top"/>
    </xf>
    <xf borderId="0" fillId="8" fontId="10" numFmtId="0" xfId="0" applyAlignment="1" applyFill="1" applyFont="1">
      <alignment horizontal="center" vertical="center"/>
    </xf>
    <xf borderId="1" fillId="9" fontId="5" numFmtId="0" xfId="0" applyAlignment="1" applyBorder="1" applyFill="1" applyFont="1">
      <alignment readingOrder="0" vertical="top"/>
    </xf>
    <xf borderId="0" fillId="14" fontId="19" numFmtId="0" xfId="0" applyAlignment="1" applyFill="1" applyFont="1">
      <alignment readingOrder="0" vertical="top"/>
    </xf>
    <xf borderId="0" fillId="3" fontId="20" numFmtId="0" xfId="0" applyAlignment="1" applyFill="1" applyFont="1">
      <alignment horizontal="center" readingOrder="0" vertical="top"/>
    </xf>
    <xf borderId="0" fillId="14" fontId="21" numFmtId="0" xfId="0" applyAlignment="1" applyFill="1" applyFont="1">
      <alignment horizontal="left" readingOrder="0" shrinkToFit="0" vertical="top" wrapText="1"/>
    </xf>
    <xf borderId="0" fillId="14" fontId="9" numFmtId="0" xfId="0" applyAlignment="1" applyFill="1" applyFont="1">
      <alignment horizontal="center" shrinkToFit="0" vertical="top" wrapText="1"/>
    </xf>
    <xf borderId="1" fillId="0" fontId="2" numFmtId="2" xfId="0" applyAlignment="1" applyBorder="1" applyFont="1" applyNumberFormat="1">
      <alignment horizontal="center" vertical="bottom"/>
    </xf>
    <xf borderId="0" fillId="14" fontId="9" numFmtId="0" xfId="0" applyAlignment="1" applyFill="1" applyFont="1">
      <alignment shrinkToFit="0" vertical="top" wrapText="1"/>
    </xf>
    <xf borderId="0" fillId="0" fontId="6" numFmtId="0" xfId="0" applyAlignment="1" applyFont="1">
      <alignment readingOrder="0" shrinkToFit="0" vertical="top" wrapText="0"/>
    </xf>
    <xf borderId="0" fillId="0" fontId="4" numFmtId="0" xfId="0" applyAlignment="1" applyFont="1">
      <alignment vertical="top"/>
    </xf>
    <xf borderId="1" fillId="15" fontId="5" numFmtId="0" xfId="0" applyAlignment="1" applyBorder="1" applyFill="1" applyFont="1">
      <alignment readingOrder="0" vertical="top"/>
    </xf>
    <xf borderId="0" fillId="14" fontId="22" numFmtId="0" xfId="0" applyAlignment="1" applyFill="1" applyFont="1">
      <alignment horizontal="center" readingOrder="0" shrinkToFit="0" vertical="top" wrapText="1"/>
    </xf>
    <xf borderId="0" fillId="14" fontId="22" numFmtId="0" xfId="0" applyAlignment="1" applyFill="1" applyFont="1">
      <alignment readingOrder="0" shrinkToFit="0" vertical="top" wrapText="1"/>
    </xf>
    <xf borderId="0" fillId="0" fontId="23" numFmtId="0" xfId="0" applyAlignment="1" applyFont="1">
      <alignment shrinkToFit="0" vertical="top" wrapText="0"/>
    </xf>
    <xf borderId="0" fillId="0" fontId="23" numFmtId="0" xfId="0" applyAlignment="1" applyFont="1">
      <alignment vertical="top"/>
    </xf>
    <xf borderId="1" fillId="16" fontId="5" numFmtId="0" xfId="0" applyAlignment="1" applyBorder="1" applyFill="1" applyFont="1">
      <alignment readingOrder="0" vertical="top"/>
    </xf>
    <xf borderId="0" fillId="0" fontId="2" numFmtId="0" xfId="0" applyAlignment="1" applyFont="1">
      <alignment readingOrder="0" vertical="bottom"/>
    </xf>
    <xf borderId="0" fillId="14" fontId="24" numFmtId="0" xfId="0" applyAlignment="1" applyFill="1" applyFont="1">
      <alignment horizontal="center" shrinkToFit="0" vertical="top" wrapText="1"/>
    </xf>
    <xf borderId="0" fillId="14" fontId="25" numFmtId="0" xfId="0" applyAlignment="1" applyFill="1" applyFont="1">
      <alignment readingOrder="0" shrinkToFit="0" vertical="top" wrapText="1"/>
    </xf>
    <xf borderId="0" fillId="0" fontId="26" numFmtId="0" xfId="0" applyAlignment="1" applyFont="1">
      <alignment readingOrder="0" shrinkToFit="0" vertical="top" wrapText="0"/>
    </xf>
    <xf borderId="0" fillId="14" fontId="22" numFmtId="0" xfId="0" applyAlignment="1" applyFill="1" applyFont="1">
      <alignment horizontal="center" shrinkToFit="0" vertical="top" wrapText="1"/>
    </xf>
    <xf borderId="0" fillId="14" fontId="25" numFmtId="0" xfId="0" applyAlignment="1" applyFill="1" applyFont="1">
      <alignment shrinkToFit="0" vertical="top" wrapText="1"/>
    </xf>
    <xf borderId="0" fillId="0" fontId="23" numFmtId="0" xfId="0" applyAlignment="1" applyFont="1">
      <alignment readingOrder="0" vertical="top"/>
    </xf>
    <xf borderId="0" fillId="0" fontId="27" numFmtId="0" xfId="0" applyAlignment="1" applyFont="1">
      <alignment readingOrder="0"/>
    </xf>
    <xf borderId="0" fillId="0" fontId="28" numFmtId="0" xfId="0" applyAlignment="1" applyFont="1">
      <alignment readingOrder="0" vertical="bottom"/>
    </xf>
    <xf quotePrefix="1" borderId="0" fillId="0" fontId="2" numFmtId="0" xfId="0" applyAlignment="1" applyFont="1">
      <alignment horizontal="left" readingOrder="0" vertical="bottom"/>
    </xf>
    <xf borderId="0" fillId="0" fontId="23" numFmtId="0" xfId="0" applyAlignment="1" applyFont="1">
      <alignment readingOrder="0" shrinkToFit="0" vertical="top" wrapText="1"/>
    </xf>
    <xf borderId="0" fillId="0" fontId="5" numFmtId="0" xfId="0" applyAlignment="1" applyFont="1">
      <alignment vertical="top"/>
    </xf>
    <xf borderId="0" fillId="0" fontId="2" numFmtId="0" xfId="0" applyAlignment="1" applyFont="1">
      <alignment horizontal="left" readingOrder="0" vertical="bottom"/>
    </xf>
    <xf borderId="0" fillId="0" fontId="5" numFmtId="0" xfId="0" applyAlignment="1" applyFont="1">
      <alignment readingOrder="0" vertical="top"/>
    </xf>
    <xf borderId="2" fillId="10" fontId="5" numFmtId="0" xfId="0" applyAlignment="1" applyBorder="1" applyFill="1" applyFont="1">
      <alignment horizontal="center" readingOrder="0" shrinkToFit="0" vertical="top" wrapText="1"/>
    </xf>
    <xf borderId="2" fillId="10" fontId="5" numFmtId="0" xfId="0" applyAlignment="1" applyBorder="1" applyFill="1" applyFont="1">
      <alignment readingOrder="0" shrinkToFit="0" vertical="top" wrapText="1"/>
    </xf>
    <xf borderId="2" fillId="3" fontId="2" numFmtId="0" xfId="0" applyAlignment="1" applyBorder="1" applyFill="1" applyFont="1">
      <alignment vertical="top"/>
    </xf>
    <xf borderId="0" fillId="0" fontId="10" numFmtId="0" xfId="0" applyAlignment="1" applyFont="1">
      <alignment horizontal="center" vertical="center"/>
    </xf>
    <xf borderId="2" fillId="3" fontId="29" numFmtId="0" xfId="0" applyAlignment="1" applyBorder="1" applyFill="1" applyFont="1">
      <alignment readingOrder="0" shrinkToFit="0" vertical="top" wrapText="1"/>
    </xf>
    <xf borderId="0" fillId="8" fontId="7" numFmtId="0" xfId="0" applyAlignment="1" applyFill="1" applyFont="1">
      <alignment horizontal="center" readingOrder="0" vertical="center"/>
    </xf>
    <xf borderId="0" fillId="14" fontId="30" numFmtId="0" xfId="0" applyAlignment="1" applyFill="1" applyFont="1">
      <alignment readingOrder="0" shrinkToFit="0" vertical="top" wrapText="1"/>
    </xf>
    <xf borderId="2" fillId="15" fontId="5" numFmtId="0" xfId="0" applyAlignment="1" applyBorder="1" applyFill="1" applyFont="1">
      <alignment readingOrder="0" shrinkToFit="0" vertical="top" wrapText="1"/>
    </xf>
    <xf borderId="0" fillId="14" fontId="22" numFmtId="0" xfId="0" applyAlignment="1" applyFill="1" applyFont="1">
      <alignment shrinkToFit="0" vertical="top" wrapText="1"/>
    </xf>
    <xf borderId="2" fillId="17" fontId="5" numFmtId="0" xfId="0" applyAlignment="1" applyBorder="1" applyFill="1" applyFont="1">
      <alignment readingOrder="0" shrinkToFit="0" vertical="top" wrapText="1"/>
    </xf>
    <xf quotePrefix="1" borderId="0" fillId="0" fontId="27" numFmtId="0" xfId="0" applyAlignment="1" applyFont="1">
      <alignment horizontal="left" readingOrder="0"/>
    </xf>
    <xf borderId="0" fillId="0" fontId="27" numFmtId="0" xfId="0" applyAlignment="1" applyFont="1">
      <alignment horizontal="left" readingOrder="0"/>
    </xf>
    <xf borderId="2" fillId="18" fontId="5" numFmtId="0" xfId="0" applyAlignment="1" applyBorder="1" applyFill="1" applyFont="1">
      <alignment readingOrder="0" shrinkToFit="0" vertical="top" wrapText="1"/>
    </xf>
    <xf borderId="0" fillId="14" fontId="31" numFmtId="0" xfId="0" applyAlignment="1" applyFill="1" applyFont="1">
      <alignment readingOrder="0" vertical="top"/>
    </xf>
    <xf borderId="0" fillId="14" fontId="25" numFmtId="0" xfId="0" applyAlignment="1" applyFill="1" applyFont="1">
      <alignment readingOrder="0" vertical="top"/>
    </xf>
    <xf borderId="0" fillId="8" fontId="7" numFmtId="0" xfId="0" applyAlignment="1" applyFill="1" applyFont="1">
      <alignment horizontal="center" vertical="center"/>
    </xf>
    <xf borderId="0" fillId="0" fontId="32" numFmtId="0" xfId="0" applyAlignment="1" applyFont="1">
      <alignment horizontal="left" readingOrder="0" vertical="center"/>
    </xf>
    <xf borderId="0" fillId="0" fontId="33" numFmtId="0" xfId="0" applyAlignment="1" applyFont="1">
      <alignment horizontal="center" readingOrder="0" vertical="center"/>
    </xf>
    <xf borderId="2" fillId="19" fontId="5" numFmtId="0" xfId="0" applyAlignment="1" applyBorder="1" applyFill="1" applyFont="1">
      <alignment readingOrder="0" shrinkToFit="0" vertical="top" wrapText="1"/>
    </xf>
    <xf borderId="0" fillId="14" fontId="25" numFmtId="0" xfId="0" applyAlignment="1" applyFill="1" applyFont="1">
      <alignment vertical="top"/>
    </xf>
    <xf borderId="2" fillId="20" fontId="5" numFmtId="0" xfId="0" applyAlignment="1" applyBorder="1" applyFill="1" applyFont="1">
      <alignment readingOrder="0" shrinkToFit="0" vertical="top" wrapText="1"/>
    </xf>
    <xf borderId="2" fillId="21" fontId="5" numFmtId="0" xfId="0" applyAlignment="1" applyBorder="1" applyFill="1" applyFont="1">
      <alignment readingOrder="0" shrinkToFit="0" vertical="top" wrapText="1"/>
    </xf>
    <xf borderId="0" fillId="14" fontId="25" numFmtId="0" xfId="0" applyAlignment="1" applyFill="1" applyFont="1">
      <alignment readingOrder="0" shrinkToFit="0" vertical="bottom" wrapText="1"/>
    </xf>
    <xf borderId="2" fillId="12" fontId="5" numFmtId="0" xfId="0" applyAlignment="1" applyBorder="1" applyFill="1" applyFont="1">
      <alignment readingOrder="0" shrinkToFit="0" vertical="top" wrapText="1"/>
    </xf>
    <xf borderId="0" fillId="6" fontId="34" numFmtId="0" xfId="0" applyAlignment="1" applyFill="1" applyFont="1">
      <alignment readingOrder="0" shrinkToFit="0" vertical="top" wrapText="1"/>
    </xf>
    <xf borderId="2" fillId="16" fontId="5" numFmtId="0" xfId="0" applyAlignment="1" applyBorder="1" applyFill="1" applyFont="1">
      <alignment readingOrder="0" shrinkToFit="0" vertical="top" wrapText="1"/>
    </xf>
    <xf borderId="2" fillId="14" fontId="5" numFmtId="0" xfId="0" applyAlignment="1" applyBorder="1" applyFill="1" applyFont="1">
      <alignment readingOrder="0" shrinkToFit="0" vertical="top" wrapText="1"/>
    </xf>
    <xf borderId="0" fillId="22" fontId="10" numFmtId="0" xfId="0" applyAlignment="1" applyFill="1" applyFont="1">
      <alignment horizontal="center" readingOrder="0" vertical="center"/>
    </xf>
    <xf borderId="0" fillId="0" fontId="33" numFmtId="0" xfId="0" applyAlignment="1" applyFont="1">
      <alignment readingOrder="0"/>
    </xf>
    <xf borderId="0" fillId="0" fontId="10" numFmtId="0" xfId="0" applyAlignment="1" applyFont="1">
      <alignment horizontal="left" vertical="center"/>
    </xf>
    <xf borderId="2" fillId="10" fontId="2" numFmtId="0" xfId="0" applyAlignment="1" applyBorder="1" applyFill="1" applyFont="1">
      <alignment vertical="top"/>
    </xf>
    <xf borderId="0" fillId="23" fontId="10" numFmtId="0" xfId="0" applyAlignment="1" applyFill="1" applyFont="1">
      <alignment horizontal="center" readingOrder="0" vertical="center"/>
    </xf>
    <xf borderId="2" fillId="21" fontId="2" numFmtId="0" xfId="0" applyAlignment="1" applyBorder="1" applyFill="1" applyFont="1">
      <alignment vertical="top"/>
    </xf>
    <xf borderId="0" fillId="3" fontId="35" numFmtId="0" xfId="0" applyAlignment="1" applyFill="1" applyFont="1">
      <alignment readingOrder="0" vertical="top"/>
    </xf>
    <xf borderId="0" fillId="24" fontId="10" numFmtId="0" xfId="0" applyAlignment="1" applyFill="1" applyFont="1">
      <alignment horizontal="center" readingOrder="0" vertical="center"/>
    </xf>
    <xf borderId="0" fillId="24" fontId="10" numFmtId="0" xfId="0" applyAlignment="1" applyFill="1" applyFont="1">
      <alignment horizontal="left" readingOrder="0" vertical="center"/>
    </xf>
    <xf borderId="0" fillId="0" fontId="36" numFmtId="0" xfId="0" applyAlignment="1" applyFont="1">
      <alignment readingOrder="0" shrinkToFit="0" vertical="top" wrapText="1"/>
    </xf>
    <xf borderId="0" fillId="20" fontId="10" numFmtId="0" xfId="0" applyAlignment="1" applyFill="1" applyFont="1">
      <alignment horizontal="center" readingOrder="0" vertical="center"/>
    </xf>
    <xf borderId="0" fillId="20" fontId="10" numFmtId="0" xfId="0" applyAlignment="1" applyFill="1" applyFont="1">
      <alignment horizontal="left" readingOrder="0" vertical="center"/>
    </xf>
    <xf borderId="0" fillId="25" fontId="22" numFmtId="0" xfId="0" applyAlignment="1" applyFill="1" applyFont="1">
      <alignment readingOrder="0" shrinkToFit="0" vertical="top" wrapText="1"/>
    </xf>
    <xf borderId="0" fillId="0" fontId="33" numFmtId="0" xfId="0" applyFont="1"/>
    <xf borderId="0" fillId="2" fontId="1" numFmtId="0" xfId="0" applyAlignment="1" applyFill="1" applyFont="1">
      <alignment readingOrder="0"/>
    </xf>
    <xf borderId="0" fillId="4" fontId="3" numFmtId="165" xfId="0" applyAlignment="1" applyFill="1" applyFont="1" applyNumberFormat="1">
      <alignment horizontal="left" readingOrder="0" shrinkToFit="0" vertical="top" wrapText="1"/>
    </xf>
    <xf borderId="0" fillId="2" fontId="37" numFmtId="0" xfId="0" applyAlignment="1" applyFill="1" applyFont="1">
      <alignment readingOrder="0" vertical="top"/>
    </xf>
    <xf borderId="0" fillId="17" fontId="10" numFmtId="0" xfId="0" applyAlignment="1" applyFill="1" applyFont="1">
      <alignment horizontal="center" readingOrder="0" vertical="center"/>
    </xf>
    <xf borderId="0" fillId="0" fontId="4" numFmtId="0" xfId="0" applyAlignment="1" applyFont="1">
      <alignment readingOrder="0"/>
    </xf>
    <xf borderId="0" fillId="17" fontId="10" numFmtId="0" xfId="0" applyAlignment="1" applyFill="1" applyFont="1">
      <alignment horizontal="left" readingOrder="0" vertical="center"/>
    </xf>
    <xf borderId="0" fillId="0" fontId="9" numFmtId="0" xfId="0" applyAlignment="1" applyFont="1">
      <alignment readingOrder="0"/>
    </xf>
    <xf borderId="0" fillId="0" fontId="9" numFmtId="0" xfId="0" applyFont="1"/>
    <xf borderId="0" fillId="0" fontId="1" numFmtId="0" xfId="0" applyFont="1"/>
    <xf borderId="0" fillId="0" fontId="1" numFmtId="0" xfId="0" applyAlignment="1" applyFont="1">
      <alignment readingOrder="0"/>
    </xf>
    <xf borderId="0" fillId="14" fontId="23" numFmtId="0" xfId="0" applyAlignment="1" applyFill="1" applyFont="1">
      <alignment readingOrder="0" shrinkToFit="0" vertical="top" wrapText="1"/>
    </xf>
    <xf borderId="0" fillId="9" fontId="37" numFmtId="0" xfId="0" applyAlignment="1" applyFill="1" applyFont="1">
      <alignment readingOrder="0" vertical="top"/>
    </xf>
    <xf borderId="0" fillId="12" fontId="13" numFmtId="0" xfId="0" applyAlignment="1" applyFill="1" applyFont="1">
      <alignment horizontal="left"/>
    </xf>
    <xf borderId="0" fillId="10" fontId="37" numFmtId="0" xfId="0" applyAlignment="1" applyFill="1" applyFont="1">
      <alignment horizontal="left" readingOrder="0" vertical="top"/>
    </xf>
    <xf borderId="0" fillId="26" fontId="10" numFmtId="0" xfId="0" applyAlignment="1" applyFill="1" applyFont="1">
      <alignment horizontal="center" readingOrder="0" vertical="center"/>
    </xf>
    <xf borderId="0" fillId="26" fontId="10" numFmtId="0" xfId="0" applyAlignment="1" applyFill="1" applyFont="1">
      <alignment horizontal="left" readingOrder="0" vertical="center"/>
    </xf>
    <xf borderId="0" fillId="14" fontId="19" numFmtId="0" xfId="0" applyAlignment="1" applyFill="1" applyFont="1">
      <alignment readingOrder="0"/>
    </xf>
    <xf borderId="0" fillId="0" fontId="37" numFmtId="0" xfId="0" applyAlignment="1" applyFont="1">
      <alignment readingOrder="0" vertical="top"/>
    </xf>
    <xf borderId="0" fillId="0" fontId="4" numFmtId="0" xfId="0" applyFont="1"/>
    <xf borderId="0" fillId="14" fontId="21" numFmtId="0" xfId="0" applyAlignment="1" applyFill="1" applyFont="1">
      <alignment horizontal="left" shrinkToFit="0" vertical="top" wrapText="1"/>
    </xf>
    <xf borderId="0" fillId="0" fontId="6" numFmtId="0" xfId="0" applyAlignment="1" applyFont="1">
      <alignment horizontal="center" readingOrder="0" shrinkToFit="0" vertical="top" wrapText="1"/>
    </xf>
    <xf borderId="0" fillId="14" fontId="6" numFmtId="0" xfId="0" applyAlignment="1" applyFill="1" applyFont="1">
      <alignment horizontal="left" readingOrder="0" shrinkToFit="0" wrapText="1"/>
    </xf>
    <xf borderId="0" fillId="14" fontId="3" numFmtId="165" xfId="0" applyAlignment="1" applyFill="1" applyFont="1" applyNumberFormat="1">
      <alignment horizontal="left" readingOrder="0" shrinkToFit="0" vertical="top" wrapText="1"/>
    </xf>
    <xf borderId="0" fillId="14" fontId="6" numFmtId="0" xfId="0" applyAlignment="1" applyFill="1" applyFont="1">
      <alignment horizontal="center" shrinkToFit="0" vertical="top" wrapText="1"/>
    </xf>
    <xf borderId="0" fillId="14" fontId="38" numFmtId="0" xfId="0" applyAlignment="1" applyFill="1" applyFont="1">
      <alignment horizontal="left" readingOrder="0" shrinkToFit="0" wrapText="1"/>
    </xf>
    <xf borderId="0" fillId="0" fontId="39" numFmtId="0" xfId="0" applyAlignment="1" applyFont="1">
      <alignment readingOrder="0" shrinkToFit="0" vertical="top" wrapText="1"/>
    </xf>
    <xf borderId="0" fillId="14" fontId="6" numFmtId="0" xfId="0" applyAlignment="1" applyFill="1" applyFont="1">
      <alignment horizontal="left" shrinkToFit="0" vertical="top" wrapText="1"/>
    </xf>
    <xf borderId="0" fillId="27" fontId="10" numFmtId="0" xfId="0" applyAlignment="1" applyFill="1" applyFont="1">
      <alignment horizontal="center" readingOrder="0" vertical="center"/>
    </xf>
    <xf borderId="0" fillId="27" fontId="10" numFmtId="0" xfId="0" applyAlignment="1" applyFill="1" applyFont="1">
      <alignment horizontal="left" readingOrder="0" vertical="center"/>
    </xf>
    <xf borderId="0" fillId="14" fontId="6" numFmtId="0" xfId="0" applyAlignment="1" applyFill="1" applyFont="1">
      <alignment horizontal="left" readingOrder="0" shrinkToFit="0" vertical="top" wrapText="1"/>
    </xf>
    <xf borderId="0" fillId="14" fontId="9" numFmtId="0" xfId="0" applyAlignment="1" applyFill="1" applyFont="1">
      <alignment horizontal="center" readingOrder="0" shrinkToFit="0" vertical="top" wrapText="1"/>
    </xf>
    <xf borderId="0" fillId="14" fontId="9" numFmtId="0" xfId="0" applyAlignment="1" applyFill="1" applyFont="1">
      <alignment readingOrder="0" shrinkToFit="0" vertical="top" wrapText="1"/>
    </xf>
    <xf borderId="0" fillId="0" fontId="6" numFmtId="0" xfId="0" applyAlignment="1" applyFont="1">
      <alignment readingOrder="0" shrinkToFit="0" vertical="top" wrapText="1"/>
    </xf>
    <xf borderId="0" fillId="28" fontId="10" numFmtId="0" xfId="0" applyAlignment="1" applyFill="1" applyFont="1">
      <alignment horizontal="center" readingOrder="0" vertical="center"/>
    </xf>
    <xf borderId="0" fillId="6" fontId="38" numFmtId="0" xfId="0" applyAlignment="1" applyFill="1" applyFont="1">
      <alignment horizontal="center" readingOrder="0" shrinkToFit="0" vertical="top" wrapText="1"/>
    </xf>
    <xf borderId="0" fillId="6" fontId="38" numFmtId="0" xfId="0" applyAlignment="1" applyFill="1" applyFont="1">
      <alignment readingOrder="0" shrinkToFit="0" vertical="top" wrapText="1"/>
    </xf>
    <xf borderId="0" fillId="0" fontId="6" numFmtId="0" xfId="0" applyAlignment="1" applyFont="1">
      <alignment horizontal="center" shrinkToFit="0" vertical="top" wrapText="1"/>
    </xf>
    <xf borderId="0" fillId="0" fontId="6" numFmtId="0" xfId="0" applyAlignment="1" applyFont="1">
      <alignment shrinkToFit="0" vertical="top" wrapText="1"/>
    </xf>
    <xf borderId="0" fillId="0" fontId="38" numFmtId="0" xfId="0" applyAlignment="1" applyFont="1">
      <alignment horizontal="center" readingOrder="0" shrinkToFit="0" vertical="top" wrapText="1"/>
    </xf>
    <xf borderId="0" fillId="0" fontId="38" numFmtId="0" xfId="0" applyAlignment="1" applyFont="1">
      <alignment readingOrder="0" shrinkToFit="0" vertical="top" wrapText="1"/>
    </xf>
    <xf borderId="0" fillId="18" fontId="10" numFmtId="0" xfId="0" applyAlignment="1" applyFill="1" applyFont="1">
      <alignment horizontal="center" readingOrder="0" vertical="center"/>
    </xf>
    <xf borderId="0" fillId="18" fontId="10" numFmtId="0" xfId="0" applyAlignment="1" applyFill="1" applyFont="1">
      <alignment horizontal="left" readingOrder="0" vertical="center"/>
    </xf>
    <xf borderId="0" fillId="6" fontId="6" numFmtId="0" xfId="0" applyAlignment="1" applyFill="1" applyFont="1">
      <alignment readingOrder="0" shrinkToFit="0" vertical="top" wrapText="1"/>
    </xf>
    <xf borderId="0" fillId="0" fontId="40" numFmtId="0" xfId="0" applyAlignment="1" applyFont="1">
      <alignment horizontal="center" shrinkToFit="0" vertical="top" wrapText="1"/>
    </xf>
    <xf borderId="0" fillId="6" fontId="39" numFmtId="0" xfId="0" applyAlignment="1" applyFill="1" applyFont="1">
      <alignment readingOrder="0" shrinkToFit="0" vertical="top" wrapText="1"/>
    </xf>
    <xf borderId="0" fillId="6" fontId="6" numFmtId="0" xfId="0" applyAlignment="1" applyFill="1" applyFont="1">
      <alignment shrinkToFit="0" vertical="top" wrapText="1"/>
    </xf>
    <xf borderId="0" fillId="23" fontId="10" numFmtId="0" xfId="0" applyAlignment="1" applyFill="1" applyFont="1">
      <alignment horizontal="left" readingOrder="0" vertical="center"/>
    </xf>
    <xf borderId="0" fillId="29" fontId="41" numFmtId="0" xfId="0" applyAlignment="1" applyFill="1" applyFont="1">
      <alignment horizontal="center" readingOrder="0" vertical="center"/>
    </xf>
    <xf borderId="0" fillId="0" fontId="42" numFmtId="0" xfId="0" applyAlignment="1" applyFont="1">
      <alignment horizontal="center" readingOrder="0" shrinkToFit="0" vertical="top" wrapText="1"/>
    </xf>
    <xf borderId="0" fillId="6" fontId="42" numFmtId="0" xfId="0" applyAlignment="1" applyFill="1" applyFont="1">
      <alignment readingOrder="0" shrinkToFit="0" vertical="top" wrapText="1"/>
    </xf>
    <xf borderId="0" fillId="28" fontId="10" numFmtId="0" xfId="0" applyAlignment="1" applyFill="1" applyFont="1">
      <alignment horizontal="left" readingOrder="0" vertical="center"/>
    </xf>
    <xf borderId="0" fillId="0" fontId="42" numFmtId="0" xfId="0" applyAlignment="1" applyFont="1">
      <alignment readingOrder="0" shrinkToFit="0" vertical="top" wrapText="1"/>
    </xf>
    <xf borderId="0" fillId="30" fontId="10" numFmtId="0" xfId="0" applyAlignment="1" applyFill="1" applyFont="1">
      <alignment horizontal="center" readingOrder="0" vertical="center"/>
    </xf>
    <xf borderId="0" fillId="19" fontId="10" numFmtId="0" xfId="0" applyAlignment="1" applyFill="1" applyFont="1">
      <alignment horizontal="center" readingOrder="0" vertical="center"/>
    </xf>
    <xf borderId="0" fillId="19" fontId="10" numFmtId="0" xfId="0" applyAlignment="1" applyFill="1" applyFont="1">
      <alignment horizontal="left" readingOrder="0" vertical="center"/>
    </xf>
    <xf borderId="0" fillId="0" fontId="43" numFmtId="0" xfId="0" applyAlignment="1" applyFont="1">
      <alignment readingOrder="0" shrinkToFit="0" vertical="top" wrapText="1"/>
    </xf>
    <xf borderId="0" fillId="16" fontId="10" numFmtId="0" xfId="0" applyAlignment="1" applyFill="1" applyFont="1">
      <alignment horizontal="center" readingOrder="0" vertical="center"/>
    </xf>
    <xf borderId="0" fillId="16" fontId="10" numFmtId="0" xfId="0" applyAlignment="1" applyFill="1" applyFont="1">
      <alignment horizontal="left" readingOrder="0" vertical="center"/>
    </xf>
    <xf borderId="0" fillId="14" fontId="38" numFmtId="0" xfId="0" applyAlignment="1" applyFill="1" applyFont="1">
      <alignment readingOrder="0" shrinkToFit="0" vertical="top" wrapText="1"/>
    </xf>
    <xf borderId="0" fillId="14" fontId="9" numFmtId="0" xfId="0" applyAlignment="1" applyFill="1" applyFont="1">
      <alignment vertical="top"/>
    </xf>
    <xf borderId="0" fillId="14" fontId="9" numFmtId="0" xfId="0" applyFill="1" applyFont="1"/>
    <xf borderId="0" fillId="14" fontId="6" numFmtId="0" xfId="0" applyAlignment="1" applyFill="1" applyFont="1">
      <alignment shrinkToFit="0" vertical="top" wrapText="1"/>
    </xf>
    <xf borderId="0" fillId="0" fontId="9" numFmtId="0" xfId="0" applyAlignment="1" applyFont="1">
      <alignment shrinkToFit="0" vertical="top" wrapText="1"/>
    </xf>
    <xf borderId="0" fillId="0" fontId="9" numFmtId="0" xfId="0" applyAlignment="1" applyFont="1">
      <alignment horizontal="center" readingOrder="0" shrinkToFit="0" vertical="top" wrapText="1"/>
    </xf>
    <xf borderId="0" fillId="0" fontId="9" numFmtId="0" xfId="0" applyAlignment="1" applyFont="1">
      <alignment readingOrder="0" shrinkToFit="0" vertical="top" wrapText="1"/>
    </xf>
    <xf borderId="0" fillId="9" fontId="10" numFmtId="0" xfId="0" applyAlignment="1" applyFill="1" applyFont="1">
      <alignment horizontal="center" readingOrder="0" vertical="center"/>
    </xf>
    <xf borderId="0" fillId="9" fontId="10" numFmtId="0" xfId="0" applyAlignment="1" applyFill="1" applyFont="1">
      <alignment horizontal="left" readingOrder="0" vertical="center"/>
    </xf>
    <xf borderId="0" fillId="30" fontId="10" numFmtId="0" xfId="0" applyAlignment="1" applyFill="1" applyFont="1">
      <alignment horizontal="left" readingOrder="0" vertical="center"/>
    </xf>
    <xf borderId="0" fillId="0" fontId="3" numFmtId="0" xfId="0" applyAlignment="1" applyFont="1">
      <alignment horizontal="left" shrinkToFit="0" vertical="top" wrapText="1"/>
    </xf>
    <xf borderId="0" fillId="31" fontId="10" numFmtId="0" xfId="0" applyAlignment="1" applyFill="1" applyFont="1">
      <alignment horizontal="center" readingOrder="0" vertical="center"/>
    </xf>
    <xf borderId="0" fillId="31" fontId="10" numFmtId="0" xfId="0" applyAlignment="1" applyFill="1" applyFont="1">
      <alignment horizontal="left" readingOrder="0" vertical="center"/>
    </xf>
    <xf borderId="0" fillId="13" fontId="10" numFmtId="0" xfId="0" applyAlignment="1" applyFill="1" applyFont="1">
      <alignment horizontal="center" readingOrder="0" vertical="center"/>
    </xf>
    <xf borderId="0" fillId="13" fontId="10" numFmtId="0" xfId="0" applyAlignment="1" applyFill="1" applyFont="1">
      <alignment horizontal="left" readingOrder="0" vertical="center"/>
    </xf>
    <xf borderId="0" fillId="0" fontId="44" numFmtId="0" xfId="0" applyAlignment="1" applyFont="1">
      <alignment horizontal="center" vertical="center"/>
    </xf>
    <xf borderId="0" fillId="32" fontId="41" numFmtId="0" xfId="0" applyAlignment="1" applyFill="1" applyFont="1">
      <alignment horizontal="center" readingOrder="0" vertical="center"/>
    </xf>
    <xf borderId="0" fillId="33" fontId="41" numFmtId="0" xfId="0" applyAlignment="1" applyFill="1" applyFont="1">
      <alignment horizontal="center" readingOrder="0" vertical="center"/>
    </xf>
    <xf borderId="0" fillId="0" fontId="10" numFmtId="0" xfId="0" applyAlignment="1" applyFont="1">
      <alignment horizontal="left" readingOrder="0" vertical="center"/>
    </xf>
  </cellXfs>
  <cellStyles count="1">
    <cellStyle xfId="0" name="Normal" builtinId="0"/>
  </cellStyles>
  <dxfs count="5">
    <dxf>
      <font/>
      <fill>
        <patternFill patternType="solid">
          <fgColor rgb="FF00FF00"/>
          <bgColor rgb="FF00FF00"/>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13.0"/>
    <col customWidth="1" min="2" max="2" width="15.13"/>
    <col customWidth="1" min="3" max="3" width="3.38"/>
    <col customWidth="1" min="4" max="4" width="90.25"/>
    <col customWidth="1" min="5" max="5" width="62.13"/>
    <col customWidth="1" min="6" max="6" width="20.38"/>
  </cols>
  <sheetData>
    <row r="1">
      <c r="A1" s="1" t="s">
        <v>0</v>
      </c>
      <c r="B1" s="4">
        <f>NOW()</f>
        <v>46274.8104</v>
      </c>
      <c r="C1" s="5"/>
      <c r="D1" s="5" t="s">
        <v>2</v>
      </c>
      <c r="E1" s="9" t="s">
        <v>3</v>
      </c>
      <c r="F1" s="11"/>
      <c r="G1" s="13"/>
      <c r="H1" s="15"/>
      <c r="I1" s="15"/>
      <c r="J1" s="15"/>
      <c r="K1" s="15"/>
      <c r="L1" s="15"/>
      <c r="M1" s="15"/>
      <c r="N1" s="17"/>
      <c r="O1" s="17"/>
      <c r="P1" s="17"/>
      <c r="Q1" s="17"/>
      <c r="R1" s="17"/>
      <c r="S1" s="17"/>
      <c r="T1" s="17"/>
      <c r="U1" s="17"/>
      <c r="V1" s="17"/>
      <c r="W1" s="17"/>
      <c r="X1" s="17"/>
      <c r="Y1" s="17"/>
      <c r="Z1" s="17"/>
      <c r="AA1" s="17"/>
      <c r="AB1" s="17"/>
    </row>
    <row r="2">
      <c r="A2" s="23">
        <f>B2</f>
        <v>24</v>
      </c>
      <c r="B2" s="27">
        <v>24.0</v>
      </c>
      <c r="C2" s="29"/>
      <c r="D2" s="32" t="s">
        <v>17</v>
      </c>
      <c r="E2" s="33" t="s">
        <v>18</v>
      </c>
      <c r="F2" s="11"/>
      <c r="G2" s="13"/>
      <c r="H2" s="15"/>
      <c r="I2" s="15"/>
      <c r="J2" s="15"/>
      <c r="K2" s="15"/>
      <c r="L2" s="15"/>
      <c r="M2" s="15"/>
      <c r="N2" s="17"/>
      <c r="O2" s="17"/>
      <c r="P2" s="17"/>
      <c r="Q2" s="17"/>
      <c r="R2" s="17"/>
      <c r="S2" s="17"/>
      <c r="T2" s="17"/>
      <c r="U2" s="17"/>
      <c r="V2" s="17"/>
      <c r="W2" s="17"/>
      <c r="X2" s="17"/>
      <c r="Y2" s="17"/>
      <c r="Z2" s="17"/>
      <c r="AA2" s="17"/>
      <c r="AB2" s="17"/>
    </row>
    <row r="3">
      <c r="A3" s="35"/>
      <c r="B3" s="36"/>
      <c r="C3" s="37"/>
      <c r="D3" s="38" t="s">
        <v>21</v>
      </c>
      <c r="E3" s="39" t="s">
        <v>22</v>
      </c>
      <c r="F3" s="11"/>
      <c r="G3" s="13"/>
      <c r="H3" s="15"/>
      <c r="I3" s="15"/>
      <c r="J3" s="15"/>
      <c r="K3" s="15"/>
      <c r="L3" s="15"/>
      <c r="M3" s="15"/>
      <c r="N3" s="17"/>
      <c r="O3" s="17"/>
      <c r="P3" s="17"/>
      <c r="Q3" s="17"/>
      <c r="R3" s="17"/>
      <c r="S3" s="17"/>
      <c r="T3" s="17"/>
      <c r="U3" s="17"/>
      <c r="V3" s="17"/>
      <c r="W3" s="17"/>
      <c r="X3" s="17"/>
      <c r="Y3" s="17"/>
      <c r="Z3" s="17"/>
      <c r="AA3" s="17"/>
      <c r="AB3" s="17"/>
    </row>
    <row r="4">
      <c r="A4" s="47">
        <f t="shared" ref="A4:A93" si="1">QUOTIENT(($B$1-B4)*24, $A$2)</f>
        <v>46274</v>
      </c>
      <c r="B4" s="49"/>
      <c r="C4" s="50"/>
      <c r="D4" s="52"/>
      <c r="E4" s="53" t="s">
        <v>31</v>
      </c>
      <c r="F4" s="54"/>
      <c r="G4" s="13"/>
      <c r="H4" s="15"/>
      <c r="I4" s="15"/>
      <c r="J4" s="15"/>
      <c r="K4" s="15"/>
      <c r="L4" s="15"/>
      <c r="M4" s="15"/>
      <c r="N4" s="17"/>
      <c r="O4" s="17"/>
      <c r="P4" s="17"/>
      <c r="Q4" s="17"/>
      <c r="R4" s="17"/>
      <c r="S4" s="17"/>
      <c r="T4" s="17"/>
      <c r="U4" s="17"/>
      <c r="V4" s="17"/>
      <c r="W4" s="17"/>
      <c r="X4" s="17"/>
      <c r="Y4" s="17"/>
      <c r="Z4" s="17"/>
      <c r="AA4" s="17"/>
      <c r="AB4" s="17"/>
    </row>
    <row r="5">
      <c r="A5" s="47">
        <f t="shared" si="1"/>
        <v>46274</v>
      </c>
      <c r="B5" s="4"/>
      <c r="C5" s="56">
        <v>1.0</v>
      </c>
      <c r="D5" s="57" t="s">
        <v>37</v>
      </c>
      <c r="E5" s="58"/>
      <c r="F5" s="59"/>
      <c r="G5" s="59"/>
      <c r="H5" s="15"/>
      <c r="I5" s="15"/>
      <c r="J5" s="15"/>
      <c r="K5" s="15"/>
      <c r="L5" s="15"/>
      <c r="M5" s="15"/>
      <c r="N5" s="17"/>
      <c r="O5" s="17"/>
      <c r="P5" s="17"/>
      <c r="Q5" s="17"/>
      <c r="R5" s="17"/>
      <c r="S5" s="17"/>
      <c r="T5" s="17"/>
      <c r="U5" s="17"/>
      <c r="V5" s="17"/>
      <c r="W5" s="17"/>
      <c r="X5" s="17"/>
      <c r="Y5" s="17"/>
      <c r="Z5" s="17"/>
      <c r="AA5" s="17"/>
      <c r="AB5" s="17"/>
    </row>
    <row r="6">
      <c r="A6" s="47">
        <f t="shared" si="1"/>
        <v>22</v>
      </c>
      <c r="B6" s="4">
        <v>46252.645833333336</v>
      </c>
      <c r="C6" s="62"/>
      <c r="D6" s="63" t="s">
        <v>44</v>
      </c>
      <c r="E6" s="64" t="s">
        <v>46</v>
      </c>
      <c r="F6" s="59"/>
      <c r="G6" s="59"/>
      <c r="H6" s="15"/>
      <c r="I6" s="15"/>
      <c r="J6" s="15"/>
      <c r="K6" s="15"/>
      <c r="L6" s="15"/>
      <c r="M6" s="15"/>
      <c r="N6" s="17"/>
      <c r="O6" s="17"/>
      <c r="P6" s="17"/>
      <c r="Q6" s="17"/>
      <c r="R6" s="17"/>
      <c r="S6" s="17"/>
      <c r="T6" s="17"/>
      <c r="U6" s="17"/>
      <c r="V6" s="17"/>
      <c r="W6" s="17"/>
      <c r="X6" s="17"/>
      <c r="Y6" s="17"/>
      <c r="Z6" s="17"/>
      <c r="AA6" s="17"/>
      <c r="AB6" s="17"/>
    </row>
    <row r="7">
      <c r="A7" s="47">
        <f t="shared" si="1"/>
        <v>46274</v>
      </c>
      <c r="B7" s="4"/>
      <c r="C7" s="65"/>
      <c r="D7" s="66"/>
      <c r="E7" s="58"/>
      <c r="F7" s="59"/>
      <c r="G7" s="67"/>
      <c r="H7" s="15"/>
      <c r="I7" s="15"/>
      <c r="J7" s="15"/>
      <c r="K7" s="15"/>
      <c r="L7" s="15"/>
      <c r="M7" s="15"/>
      <c r="N7" s="17"/>
      <c r="O7" s="17"/>
      <c r="P7" s="17"/>
      <c r="Q7" s="17"/>
      <c r="R7" s="17"/>
      <c r="S7" s="17"/>
      <c r="T7" s="17"/>
      <c r="U7" s="17"/>
      <c r="V7" s="17"/>
      <c r="W7" s="17"/>
      <c r="X7" s="17"/>
      <c r="Y7" s="17"/>
      <c r="Z7" s="17"/>
      <c r="AA7" s="17"/>
      <c r="AB7" s="17"/>
    </row>
    <row r="8">
      <c r="A8" s="47">
        <f t="shared" si="1"/>
        <v>46274</v>
      </c>
      <c r="B8" s="4"/>
      <c r="C8" s="56">
        <f>C5+1</f>
        <v>2</v>
      </c>
      <c r="D8" s="57" t="s">
        <v>61</v>
      </c>
      <c r="E8" s="58"/>
      <c r="F8" s="59"/>
      <c r="G8" s="59"/>
      <c r="H8" s="15"/>
      <c r="I8" s="15"/>
      <c r="J8" s="15"/>
      <c r="K8" s="15"/>
      <c r="L8" s="15"/>
      <c r="M8" s="15"/>
      <c r="N8" s="17"/>
      <c r="O8" s="17"/>
      <c r="P8" s="17"/>
      <c r="Q8" s="17"/>
      <c r="R8" s="17"/>
      <c r="S8" s="17"/>
      <c r="T8" s="17"/>
      <c r="U8" s="17"/>
      <c r="V8" s="17"/>
      <c r="W8" s="17"/>
      <c r="X8" s="17"/>
      <c r="Y8" s="17"/>
      <c r="Z8" s="17"/>
      <c r="AA8" s="17"/>
      <c r="AB8" s="17"/>
    </row>
    <row r="9">
      <c r="A9" s="47">
        <f t="shared" si="1"/>
        <v>16</v>
      </c>
      <c r="B9" s="4">
        <v>46258.518055555556</v>
      </c>
      <c r="C9" s="65"/>
      <c r="D9" s="63" t="s">
        <v>63</v>
      </c>
      <c r="E9" s="71"/>
      <c r="F9" s="59"/>
      <c r="G9" s="59"/>
      <c r="H9" s="15"/>
      <c r="I9" s="15"/>
      <c r="J9" s="15"/>
      <c r="K9" s="15"/>
      <c r="L9" s="15"/>
      <c r="M9" s="15"/>
      <c r="N9" s="17"/>
      <c r="O9" s="17"/>
      <c r="P9" s="17"/>
      <c r="Q9" s="17"/>
      <c r="R9" s="17"/>
      <c r="S9" s="17"/>
      <c r="T9" s="17"/>
      <c r="U9" s="17"/>
      <c r="V9" s="17"/>
      <c r="W9" s="17"/>
      <c r="X9" s="17"/>
      <c r="Y9" s="17"/>
      <c r="Z9" s="17"/>
      <c r="AA9" s="17"/>
      <c r="AB9" s="17"/>
    </row>
    <row r="10">
      <c r="A10" s="47">
        <f t="shared" si="1"/>
        <v>46274</v>
      </c>
      <c r="B10" s="4"/>
      <c r="C10" s="65"/>
      <c r="D10" s="66"/>
      <c r="E10" s="58"/>
      <c r="F10" s="59"/>
      <c r="G10" s="59"/>
      <c r="H10" s="15"/>
      <c r="I10" s="15"/>
      <c r="J10" s="15"/>
      <c r="K10" s="15"/>
      <c r="L10" s="15"/>
      <c r="M10" s="15"/>
      <c r="N10" s="17"/>
      <c r="O10" s="17"/>
      <c r="P10" s="17"/>
      <c r="Q10" s="17"/>
      <c r="R10" s="17"/>
      <c r="S10" s="17"/>
      <c r="T10" s="17"/>
      <c r="U10" s="17"/>
      <c r="V10" s="17"/>
      <c r="W10" s="17"/>
      <c r="X10" s="17"/>
      <c r="Y10" s="17"/>
      <c r="Z10" s="17"/>
      <c r="AA10" s="17"/>
      <c r="AB10" s="17"/>
    </row>
    <row r="11">
      <c r="A11" s="47">
        <f t="shared" si="1"/>
        <v>46274</v>
      </c>
      <c r="B11" s="4"/>
      <c r="C11" s="56">
        <f>C8+1</f>
        <v>3</v>
      </c>
      <c r="D11" s="57" t="s">
        <v>71</v>
      </c>
      <c r="E11" s="58"/>
      <c r="F11" s="59"/>
      <c r="G11" s="59"/>
      <c r="H11" s="15"/>
      <c r="I11" s="15"/>
      <c r="J11" s="15"/>
      <c r="K11" s="15"/>
      <c r="L11" s="15"/>
      <c r="M11" s="15"/>
      <c r="N11" s="17"/>
      <c r="O11" s="17"/>
      <c r="P11" s="17"/>
      <c r="Q11" s="17"/>
      <c r="R11" s="17"/>
      <c r="S11" s="17"/>
      <c r="T11" s="17"/>
      <c r="U11" s="17"/>
      <c r="V11" s="17"/>
      <c r="W11" s="17"/>
      <c r="X11" s="17"/>
      <c r="Y11" s="17"/>
      <c r="Z11" s="17"/>
      <c r="AA11" s="17"/>
      <c r="AB11" s="17"/>
    </row>
    <row r="12">
      <c r="A12" s="47">
        <f t="shared" si="1"/>
        <v>16</v>
      </c>
      <c r="B12" s="4">
        <v>46258.52222222222</v>
      </c>
      <c r="C12" s="65"/>
      <c r="D12" s="63" t="s">
        <v>73</v>
      </c>
      <c r="E12" s="71" t="s">
        <v>75</v>
      </c>
      <c r="F12" s="59"/>
      <c r="G12" s="59"/>
      <c r="H12" s="15"/>
      <c r="I12" s="15"/>
      <c r="J12" s="15"/>
      <c r="K12" s="15"/>
      <c r="L12" s="15"/>
      <c r="M12" s="15"/>
      <c r="N12" s="17"/>
      <c r="O12" s="17"/>
      <c r="P12" s="17"/>
      <c r="Q12" s="17"/>
      <c r="R12" s="17"/>
      <c r="S12" s="17"/>
      <c r="T12" s="17"/>
      <c r="U12" s="17"/>
      <c r="V12" s="17"/>
      <c r="W12" s="17"/>
      <c r="X12" s="17"/>
      <c r="Y12" s="17"/>
      <c r="Z12" s="17"/>
      <c r="AA12" s="17"/>
      <c r="AB12" s="17"/>
    </row>
    <row r="13">
      <c r="A13" s="47">
        <f t="shared" si="1"/>
        <v>46274</v>
      </c>
      <c r="B13" s="4"/>
      <c r="C13" s="65"/>
      <c r="D13" s="81" t="s">
        <v>82</v>
      </c>
      <c r="E13" s="81" t="s">
        <v>84</v>
      </c>
      <c r="F13" s="59"/>
      <c r="G13" s="59"/>
      <c r="H13" s="15"/>
      <c r="I13" s="15"/>
      <c r="J13" s="15"/>
      <c r="K13" s="15"/>
      <c r="L13" s="15"/>
      <c r="M13" s="15"/>
      <c r="N13" s="17"/>
      <c r="O13" s="17"/>
      <c r="P13" s="17"/>
      <c r="Q13" s="17"/>
      <c r="R13" s="17"/>
      <c r="S13" s="17"/>
      <c r="T13" s="17"/>
      <c r="U13" s="17"/>
      <c r="V13" s="17"/>
      <c r="W13" s="17"/>
      <c r="X13" s="17"/>
      <c r="Y13" s="17"/>
      <c r="Z13" s="17"/>
      <c r="AA13" s="17"/>
      <c r="AB13" s="17"/>
    </row>
    <row r="14">
      <c r="A14" s="47">
        <f t="shared" si="1"/>
        <v>46274</v>
      </c>
      <c r="B14" s="4"/>
      <c r="C14" s="56">
        <f>C11+1</f>
        <v>4</v>
      </c>
      <c r="D14" s="83" t="s">
        <v>92</v>
      </c>
      <c r="E14" s="58"/>
      <c r="F14" s="59"/>
      <c r="G14" s="59"/>
      <c r="H14" s="15"/>
      <c r="I14" s="15"/>
      <c r="J14" s="15"/>
      <c r="K14" s="15"/>
      <c r="L14" s="15"/>
      <c r="M14" s="15"/>
      <c r="N14" s="17"/>
      <c r="O14" s="17"/>
      <c r="P14" s="17"/>
      <c r="Q14" s="17"/>
      <c r="R14" s="17"/>
      <c r="S14" s="17"/>
      <c r="T14" s="17"/>
      <c r="U14" s="17"/>
      <c r="V14" s="17"/>
      <c r="W14" s="17"/>
      <c r="X14" s="17"/>
      <c r="Y14" s="17"/>
      <c r="Z14" s="17"/>
      <c r="AA14" s="17"/>
      <c r="AB14" s="17"/>
    </row>
    <row r="15">
      <c r="A15" s="47">
        <f t="shared" si="1"/>
        <v>15</v>
      </c>
      <c r="B15" s="4">
        <v>46259.42013888889</v>
      </c>
      <c r="C15" s="65"/>
      <c r="D15" s="66" t="s">
        <v>97</v>
      </c>
      <c r="E15" s="71"/>
      <c r="F15" s="59"/>
      <c r="G15" s="59"/>
      <c r="H15" s="15"/>
      <c r="I15" s="15"/>
      <c r="J15" s="15"/>
      <c r="K15" s="15"/>
      <c r="L15" s="15"/>
      <c r="M15" s="15"/>
      <c r="N15" s="17"/>
      <c r="O15" s="17"/>
      <c r="P15" s="17"/>
      <c r="Q15" s="17"/>
      <c r="R15" s="17"/>
      <c r="S15" s="17"/>
      <c r="T15" s="17"/>
      <c r="U15" s="17"/>
      <c r="V15" s="17"/>
      <c r="W15" s="17"/>
      <c r="X15" s="17"/>
      <c r="Y15" s="17"/>
      <c r="Z15" s="17"/>
      <c r="AA15" s="17"/>
      <c r="AB15" s="17"/>
    </row>
    <row r="16">
      <c r="A16" s="47">
        <f t="shared" si="1"/>
        <v>46274</v>
      </c>
      <c r="B16" s="4"/>
      <c r="C16" s="65"/>
      <c r="D16" s="66"/>
      <c r="E16" s="58"/>
      <c r="F16" s="59"/>
      <c r="G16" s="59"/>
      <c r="H16" s="15"/>
      <c r="I16" s="15"/>
      <c r="J16" s="15"/>
      <c r="K16" s="15"/>
      <c r="L16" s="15"/>
      <c r="M16" s="15"/>
      <c r="N16" s="17"/>
      <c r="O16" s="17"/>
      <c r="P16" s="17"/>
      <c r="Q16" s="17"/>
      <c r="R16" s="17"/>
      <c r="S16" s="17"/>
      <c r="T16" s="17"/>
      <c r="U16" s="17"/>
      <c r="V16" s="17"/>
      <c r="W16" s="17"/>
      <c r="X16" s="17"/>
      <c r="Y16" s="17"/>
      <c r="Z16" s="17"/>
      <c r="AA16" s="17"/>
      <c r="AB16" s="17"/>
    </row>
    <row r="17">
      <c r="A17" s="47">
        <f t="shared" si="1"/>
        <v>46274</v>
      </c>
      <c r="B17" s="4"/>
      <c r="C17" s="56">
        <f>C14+1</f>
        <v>5</v>
      </c>
      <c r="D17" s="83" t="s">
        <v>105</v>
      </c>
      <c r="E17" s="58"/>
      <c r="F17" s="59"/>
      <c r="G17" s="59"/>
      <c r="H17" s="15"/>
      <c r="I17" s="15"/>
      <c r="J17" s="15"/>
      <c r="K17" s="15"/>
      <c r="L17" s="15"/>
      <c r="M17" s="15"/>
      <c r="N17" s="17"/>
      <c r="O17" s="17"/>
      <c r="P17" s="17"/>
      <c r="Q17" s="17"/>
      <c r="R17" s="17"/>
      <c r="S17" s="17"/>
      <c r="T17" s="17"/>
      <c r="U17" s="17"/>
      <c r="V17" s="17"/>
      <c r="W17" s="17"/>
      <c r="X17" s="17"/>
      <c r="Y17" s="17"/>
      <c r="Z17" s="17"/>
      <c r="AA17" s="17"/>
      <c r="AB17" s="17"/>
    </row>
    <row r="18">
      <c r="A18" s="47">
        <f t="shared" si="1"/>
        <v>15</v>
      </c>
      <c r="B18" s="4">
        <v>46259.427083333336</v>
      </c>
      <c r="C18" s="65"/>
      <c r="D18" s="88" t="s">
        <v>109</v>
      </c>
      <c r="E18" s="71"/>
      <c r="F18" s="59"/>
      <c r="G18" s="59"/>
      <c r="H18" s="15"/>
      <c r="I18" s="15"/>
      <c r="J18" s="15"/>
      <c r="K18" s="15"/>
      <c r="L18" s="15"/>
      <c r="M18" s="15"/>
      <c r="N18" s="17"/>
      <c r="O18" s="17"/>
      <c r="P18" s="17"/>
      <c r="Q18" s="17"/>
      <c r="R18" s="17"/>
      <c r="S18" s="17"/>
      <c r="T18" s="17"/>
      <c r="U18" s="17"/>
      <c r="V18" s="17"/>
      <c r="W18" s="17"/>
      <c r="X18" s="17"/>
      <c r="Y18" s="17"/>
      <c r="Z18" s="17"/>
      <c r="AA18" s="17"/>
      <c r="AB18" s="17"/>
    </row>
    <row r="19">
      <c r="A19" s="47">
        <f t="shared" si="1"/>
        <v>0</v>
      </c>
      <c r="B19" s="4">
        <v>46273.99652777778</v>
      </c>
      <c r="C19" s="65"/>
      <c r="D19" s="89" t="s">
        <v>116</v>
      </c>
      <c r="E19" s="91" t="s">
        <v>118</v>
      </c>
      <c r="F19" s="92"/>
      <c r="G19" s="59"/>
      <c r="H19" s="15"/>
      <c r="I19" s="15"/>
      <c r="J19" s="15"/>
      <c r="K19" s="15"/>
      <c r="L19" s="15"/>
      <c r="M19" s="15"/>
      <c r="N19" s="17"/>
      <c r="O19" s="17"/>
      <c r="P19" s="17"/>
      <c r="Q19" s="17"/>
      <c r="R19" s="17"/>
      <c r="S19" s="17"/>
      <c r="T19" s="17"/>
      <c r="U19" s="17"/>
      <c r="V19" s="17"/>
      <c r="W19" s="17"/>
      <c r="X19" s="17"/>
      <c r="Y19" s="17"/>
      <c r="Z19" s="17"/>
      <c r="AA19" s="17"/>
      <c r="AB19" s="17"/>
    </row>
    <row r="20">
      <c r="A20" s="47">
        <f t="shared" si="1"/>
        <v>46274</v>
      </c>
      <c r="B20" s="4"/>
      <c r="C20" s="56">
        <f>C17+1</f>
        <v>6</v>
      </c>
      <c r="D20" s="57" t="s">
        <v>127</v>
      </c>
      <c r="E20" s="92"/>
      <c r="F20" s="92"/>
      <c r="G20" s="59"/>
      <c r="H20" s="15"/>
      <c r="I20" s="15"/>
      <c r="J20" s="15"/>
      <c r="K20" s="15"/>
      <c r="L20" s="15"/>
      <c r="M20" s="15"/>
      <c r="N20" s="17"/>
      <c r="O20" s="17"/>
      <c r="P20" s="17"/>
      <c r="Q20" s="17"/>
      <c r="R20" s="17"/>
      <c r="S20" s="17"/>
      <c r="T20" s="17"/>
      <c r="U20" s="17"/>
      <c r="V20" s="17"/>
      <c r="W20" s="17"/>
      <c r="X20" s="17"/>
      <c r="Y20" s="17"/>
      <c r="Z20" s="17"/>
      <c r="AA20" s="17"/>
      <c r="AB20" s="17"/>
    </row>
    <row r="21">
      <c r="A21" s="47">
        <f t="shared" si="1"/>
        <v>15</v>
      </c>
      <c r="B21" s="4">
        <v>46259.43402777778</v>
      </c>
      <c r="C21" s="65"/>
      <c r="D21" s="63" t="s">
        <v>131</v>
      </c>
      <c r="E21" s="92"/>
      <c r="F21" s="92"/>
      <c r="G21" s="59"/>
      <c r="H21" s="15"/>
      <c r="I21" s="15"/>
      <c r="J21" s="15"/>
      <c r="K21" s="15"/>
      <c r="L21" s="15"/>
      <c r="M21" s="15"/>
      <c r="N21" s="17"/>
      <c r="O21" s="17"/>
      <c r="P21" s="17"/>
      <c r="Q21" s="17"/>
      <c r="R21" s="17"/>
      <c r="S21" s="17"/>
      <c r="T21" s="17"/>
      <c r="U21" s="17"/>
      <c r="V21" s="17"/>
      <c r="W21" s="17"/>
      <c r="X21" s="17"/>
      <c r="Y21" s="17"/>
      <c r="Z21" s="17"/>
      <c r="AA21" s="17"/>
      <c r="AB21" s="17"/>
    </row>
    <row r="22">
      <c r="A22" s="47">
        <f t="shared" si="1"/>
        <v>46274</v>
      </c>
      <c r="B22" s="4"/>
      <c r="C22" s="65"/>
      <c r="D22" s="66"/>
      <c r="E22" s="58"/>
      <c r="F22" s="59"/>
      <c r="G22" s="59"/>
      <c r="H22" s="15"/>
      <c r="I22" s="15"/>
      <c r="J22" s="15"/>
      <c r="K22" s="15"/>
      <c r="L22" s="15"/>
      <c r="M22" s="15"/>
      <c r="N22" s="17"/>
      <c r="O22" s="17"/>
      <c r="P22" s="17"/>
      <c r="Q22" s="17"/>
      <c r="R22" s="17"/>
      <c r="S22" s="17"/>
      <c r="T22" s="17"/>
      <c r="U22" s="17"/>
      <c r="V22" s="17"/>
      <c r="W22" s="17"/>
      <c r="X22" s="17"/>
      <c r="Y22" s="17"/>
      <c r="Z22" s="17"/>
      <c r="AA22" s="17"/>
      <c r="AB22" s="17"/>
    </row>
    <row r="23">
      <c r="A23" s="47">
        <f t="shared" si="1"/>
        <v>46274</v>
      </c>
      <c r="B23" s="4"/>
      <c r="C23" s="56">
        <f>C20+1</f>
        <v>7</v>
      </c>
      <c r="D23" s="83" t="s">
        <v>144</v>
      </c>
      <c r="E23" s="94"/>
      <c r="F23" s="59"/>
      <c r="G23" s="59"/>
      <c r="H23" s="15"/>
      <c r="I23" s="15"/>
      <c r="J23" s="15"/>
      <c r="K23" s="15"/>
      <c r="L23" s="15"/>
      <c r="M23" s="15"/>
      <c r="N23" s="17"/>
      <c r="O23" s="17"/>
      <c r="P23" s="17"/>
      <c r="Q23" s="17"/>
      <c r="R23" s="17"/>
      <c r="S23" s="17"/>
      <c r="T23" s="17"/>
      <c r="U23" s="17"/>
      <c r="V23" s="17"/>
      <c r="W23" s="17"/>
      <c r="X23" s="17"/>
      <c r="Y23" s="17"/>
      <c r="Z23" s="17"/>
      <c r="AA23" s="17"/>
      <c r="AB23" s="17"/>
    </row>
    <row r="24">
      <c r="A24" s="47">
        <f t="shared" si="1"/>
        <v>15</v>
      </c>
      <c r="B24" s="4">
        <v>46259.4375</v>
      </c>
      <c r="C24" s="65"/>
      <c r="D24" s="63" t="s">
        <v>156</v>
      </c>
      <c r="E24" s="63" t="s">
        <v>158</v>
      </c>
      <c r="F24" s="59"/>
      <c r="G24" s="59"/>
      <c r="H24" s="15"/>
      <c r="I24" s="15"/>
      <c r="J24" s="15"/>
      <c r="K24" s="15"/>
      <c r="L24" s="15"/>
      <c r="M24" s="15"/>
      <c r="N24" s="17"/>
      <c r="O24" s="17"/>
      <c r="P24" s="17"/>
      <c r="Q24" s="17"/>
      <c r="R24" s="17"/>
      <c r="S24" s="17"/>
      <c r="T24" s="17"/>
      <c r="U24" s="17"/>
      <c r="V24" s="17"/>
      <c r="W24" s="17"/>
      <c r="X24" s="17"/>
      <c r="Y24" s="17"/>
      <c r="Z24" s="17"/>
      <c r="AA24" s="17"/>
      <c r="AB24" s="17"/>
    </row>
    <row r="25">
      <c r="A25" s="47">
        <f t="shared" si="1"/>
        <v>0</v>
      </c>
      <c r="B25" s="4">
        <v>46273.944444444445</v>
      </c>
      <c r="C25" s="65"/>
      <c r="D25" s="63" t="s">
        <v>160</v>
      </c>
      <c r="E25" s="58"/>
      <c r="F25" s="59"/>
      <c r="G25" s="59"/>
      <c r="H25" s="15"/>
      <c r="I25" s="15"/>
      <c r="J25" s="15"/>
      <c r="K25" s="15"/>
      <c r="L25" s="15"/>
      <c r="M25" s="15"/>
      <c r="N25" s="17"/>
      <c r="O25" s="17"/>
      <c r="P25" s="17"/>
      <c r="Q25" s="17"/>
      <c r="R25" s="17"/>
      <c r="S25" s="17"/>
      <c r="T25" s="17"/>
      <c r="U25" s="17"/>
      <c r="V25" s="17"/>
      <c r="W25" s="17"/>
      <c r="X25" s="17"/>
      <c r="Y25" s="17"/>
      <c r="Z25" s="17"/>
      <c r="AA25" s="17"/>
      <c r="AB25" s="17"/>
    </row>
    <row r="26">
      <c r="A26" s="47">
        <f t="shared" si="1"/>
        <v>46274</v>
      </c>
      <c r="B26" s="4"/>
      <c r="C26" s="56">
        <f>C23+1</f>
        <v>8</v>
      </c>
      <c r="D26" s="83" t="s">
        <v>165</v>
      </c>
      <c r="E26" s="58"/>
      <c r="F26" s="59"/>
      <c r="G26" s="59"/>
      <c r="H26" s="15"/>
      <c r="I26" s="15"/>
      <c r="J26" s="15"/>
      <c r="K26" s="15"/>
      <c r="L26" s="15"/>
      <c r="M26" s="15"/>
      <c r="N26" s="17"/>
      <c r="O26" s="17"/>
      <c r="P26" s="17"/>
      <c r="Q26" s="17"/>
      <c r="R26" s="17"/>
      <c r="S26" s="17"/>
      <c r="T26" s="17"/>
      <c r="U26" s="17"/>
      <c r="V26" s="17"/>
      <c r="W26" s="17"/>
      <c r="X26" s="17"/>
      <c r="Y26" s="17"/>
      <c r="Z26" s="17"/>
      <c r="AA26" s="17"/>
      <c r="AB26" s="17"/>
    </row>
    <row r="27">
      <c r="A27" s="47">
        <f t="shared" si="1"/>
        <v>15</v>
      </c>
      <c r="B27" s="4">
        <v>46259.447916666664</v>
      </c>
      <c r="C27" s="65"/>
      <c r="D27" s="97" t="s">
        <v>172</v>
      </c>
      <c r="E27" s="71"/>
      <c r="F27" s="59"/>
      <c r="G27" s="59"/>
      <c r="H27" s="15"/>
      <c r="I27" s="15"/>
      <c r="J27" s="15"/>
      <c r="K27" s="15"/>
      <c r="L27" s="15"/>
      <c r="M27" s="15"/>
      <c r="N27" s="17"/>
      <c r="O27" s="17"/>
      <c r="P27" s="17"/>
      <c r="Q27" s="17"/>
      <c r="R27" s="17"/>
      <c r="S27" s="17"/>
      <c r="T27" s="17"/>
      <c r="U27" s="17"/>
      <c r="V27" s="17"/>
      <c r="W27" s="17"/>
      <c r="X27" s="17"/>
      <c r="Y27" s="17"/>
      <c r="Z27" s="17"/>
      <c r="AA27" s="17"/>
      <c r="AB27" s="17"/>
    </row>
    <row r="28">
      <c r="A28" s="47">
        <f t="shared" si="1"/>
        <v>46274</v>
      </c>
      <c r="B28" s="4"/>
      <c r="C28" s="65"/>
      <c r="D28" s="66"/>
      <c r="E28" s="58"/>
      <c r="F28" s="59"/>
      <c r="G28" s="59"/>
      <c r="H28" s="15"/>
      <c r="I28" s="15"/>
      <c r="J28" s="15"/>
      <c r="K28" s="15"/>
      <c r="L28" s="15"/>
      <c r="M28" s="15"/>
      <c r="N28" s="17"/>
      <c r="O28" s="17"/>
      <c r="P28" s="17"/>
      <c r="Q28" s="17"/>
      <c r="R28" s="17"/>
      <c r="S28" s="17"/>
      <c r="T28" s="17"/>
      <c r="U28" s="17"/>
      <c r="V28" s="17"/>
      <c r="W28" s="17"/>
      <c r="X28" s="17"/>
      <c r="Y28" s="17"/>
      <c r="Z28" s="17"/>
      <c r="AA28" s="17"/>
      <c r="AB28" s="17"/>
    </row>
    <row r="29">
      <c r="A29" s="47">
        <f t="shared" si="1"/>
        <v>46274</v>
      </c>
      <c r="B29" s="4"/>
      <c r="C29" s="56">
        <f>C26+1</f>
        <v>9</v>
      </c>
      <c r="D29" s="57" t="s">
        <v>182</v>
      </c>
      <c r="E29" s="58"/>
      <c r="F29" s="59"/>
      <c r="G29" s="59"/>
      <c r="H29" s="15"/>
      <c r="I29" s="15"/>
      <c r="J29" s="15"/>
      <c r="K29" s="15"/>
      <c r="L29" s="15"/>
      <c r="M29" s="15"/>
      <c r="N29" s="17"/>
      <c r="O29" s="17"/>
      <c r="P29" s="17"/>
      <c r="Q29" s="17"/>
      <c r="R29" s="17"/>
      <c r="S29" s="17"/>
      <c r="T29" s="17"/>
      <c r="U29" s="17"/>
      <c r="V29" s="17"/>
      <c r="W29" s="17"/>
      <c r="X29" s="17"/>
      <c r="Y29" s="17"/>
      <c r="Z29" s="17"/>
      <c r="AA29" s="17"/>
      <c r="AB29" s="17"/>
    </row>
    <row r="30">
      <c r="A30" s="47">
        <f t="shared" si="1"/>
        <v>14</v>
      </c>
      <c r="B30" s="4">
        <v>46259.830555555556</v>
      </c>
      <c r="C30" s="65"/>
      <c r="D30" s="63" t="s">
        <v>185</v>
      </c>
      <c r="E30" s="71"/>
      <c r="F30" s="59"/>
      <c r="G30" s="59"/>
      <c r="H30" s="15"/>
      <c r="I30" s="15"/>
      <c r="J30" s="15"/>
      <c r="K30" s="15"/>
      <c r="L30" s="15"/>
      <c r="M30" s="15"/>
      <c r="N30" s="17"/>
      <c r="O30" s="17"/>
      <c r="P30" s="17"/>
      <c r="Q30" s="17"/>
      <c r="R30" s="17"/>
      <c r="S30" s="17"/>
      <c r="T30" s="17"/>
      <c r="U30" s="17"/>
      <c r="V30" s="17"/>
      <c r="W30" s="17"/>
      <c r="X30" s="17"/>
      <c r="Y30" s="17"/>
      <c r="Z30" s="17"/>
      <c r="AA30" s="17"/>
      <c r="AB30" s="17"/>
    </row>
    <row r="31">
      <c r="A31" s="47">
        <f t="shared" si="1"/>
        <v>46274</v>
      </c>
      <c r="B31" s="4"/>
      <c r="C31" s="65"/>
      <c r="D31" s="66"/>
      <c r="E31" s="58"/>
      <c r="F31" s="59"/>
      <c r="G31" s="59"/>
      <c r="H31" s="15"/>
      <c r="I31" s="15"/>
      <c r="J31" s="15"/>
      <c r="K31" s="15"/>
      <c r="L31" s="15"/>
      <c r="M31" s="15"/>
      <c r="N31" s="17"/>
      <c r="O31" s="17"/>
      <c r="P31" s="17"/>
      <c r="Q31" s="17"/>
      <c r="R31" s="17"/>
      <c r="S31" s="17"/>
      <c r="T31" s="17"/>
      <c r="U31" s="17"/>
      <c r="V31" s="17"/>
      <c r="W31" s="17"/>
      <c r="X31" s="17"/>
      <c r="Y31" s="17"/>
      <c r="Z31" s="17"/>
      <c r="AA31" s="17"/>
      <c r="AB31" s="17"/>
    </row>
    <row r="32">
      <c r="A32" s="47">
        <f t="shared" si="1"/>
        <v>46274</v>
      </c>
      <c r="B32" s="4"/>
      <c r="C32" s="56">
        <f>C29+1</f>
        <v>10</v>
      </c>
      <c r="D32" s="57" t="s">
        <v>191</v>
      </c>
      <c r="E32" s="58"/>
      <c r="F32" s="59"/>
      <c r="G32" s="59"/>
      <c r="H32" s="15"/>
      <c r="I32" s="15"/>
      <c r="J32" s="15"/>
      <c r="K32" s="15"/>
      <c r="L32" s="15"/>
      <c r="M32" s="15"/>
      <c r="N32" s="17"/>
      <c r="O32" s="17"/>
      <c r="P32" s="17"/>
      <c r="Q32" s="17"/>
      <c r="R32" s="17"/>
      <c r="S32" s="17"/>
      <c r="T32" s="17"/>
      <c r="U32" s="17"/>
      <c r="V32" s="17"/>
      <c r="W32" s="17"/>
      <c r="X32" s="17"/>
      <c r="Y32" s="17"/>
      <c r="Z32" s="17"/>
      <c r="AA32" s="17"/>
      <c r="AB32" s="17"/>
    </row>
    <row r="33">
      <c r="A33" s="47">
        <f t="shared" si="1"/>
        <v>46274</v>
      </c>
      <c r="B33" s="4"/>
      <c r="C33" s="65"/>
      <c r="D33" s="99" t="s">
        <v>193</v>
      </c>
      <c r="E33" s="71"/>
      <c r="F33" s="59"/>
      <c r="G33" s="59"/>
      <c r="H33" s="15"/>
      <c r="I33" s="15"/>
      <c r="J33" s="15"/>
      <c r="K33" s="15"/>
      <c r="L33" s="15"/>
      <c r="M33" s="15"/>
      <c r="N33" s="17"/>
      <c r="O33" s="17"/>
      <c r="P33" s="17"/>
      <c r="Q33" s="17"/>
      <c r="R33" s="17"/>
      <c r="S33" s="17"/>
      <c r="T33" s="17"/>
      <c r="U33" s="17"/>
      <c r="V33" s="17"/>
      <c r="W33" s="17"/>
      <c r="X33" s="17"/>
      <c r="Y33" s="17"/>
      <c r="Z33" s="17"/>
      <c r="AA33" s="17"/>
      <c r="AB33" s="17"/>
    </row>
    <row r="34">
      <c r="A34" s="47">
        <f t="shared" si="1"/>
        <v>46274</v>
      </c>
      <c r="B34" s="4"/>
      <c r="C34" s="65"/>
      <c r="D34" s="66"/>
      <c r="E34" s="58"/>
      <c r="F34" s="59"/>
      <c r="G34" s="59"/>
      <c r="H34" s="15"/>
      <c r="I34" s="15"/>
      <c r="J34" s="15"/>
      <c r="K34" s="15"/>
      <c r="L34" s="15"/>
      <c r="M34" s="15"/>
      <c r="N34" s="17"/>
      <c r="O34" s="17"/>
      <c r="P34" s="17"/>
      <c r="Q34" s="17"/>
      <c r="R34" s="17"/>
      <c r="S34" s="17"/>
      <c r="T34" s="17"/>
      <c r="U34" s="17"/>
      <c r="V34" s="17"/>
      <c r="W34" s="17"/>
      <c r="X34" s="17"/>
      <c r="Y34" s="17"/>
      <c r="Z34" s="17"/>
      <c r="AA34" s="17"/>
      <c r="AB34" s="17"/>
    </row>
    <row r="35">
      <c r="A35" s="47">
        <f t="shared" si="1"/>
        <v>46274</v>
      </c>
      <c r="B35" s="4"/>
      <c r="C35" s="56">
        <f>C32+1</f>
        <v>11</v>
      </c>
      <c r="D35" s="57" t="s">
        <v>197</v>
      </c>
      <c r="E35" s="58"/>
      <c r="F35" s="59"/>
      <c r="G35" s="59"/>
      <c r="H35" s="15"/>
      <c r="I35" s="15"/>
      <c r="J35" s="15"/>
      <c r="K35" s="15"/>
      <c r="L35" s="15"/>
      <c r="M35" s="15"/>
      <c r="N35" s="17"/>
      <c r="O35" s="17"/>
      <c r="P35" s="17"/>
      <c r="Q35" s="17"/>
      <c r="R35" s="17"/>
      <c r="S35" s="17"/>
      <c r="T35" s="17"/>
      <c r="U35" s="17"/>
      <c r="V35" s="17"/>
      <c r="W35" s="17"/>
      <c r="X35" s="17"/>
      <c r="Y35" s="17"/>
      <c r="Z35" s="17"/>
      <c r="AA35" s="17"/>
      <c r="AB35" s="17"/>
    </row>
    <row r="36">
      <c r="A36" s="47">
        <f t="shared" si="1"/>
        <v>7</v>
      </c>
      <c r="B36" s="4">
        <v>46267.802083333336</v>
      </c>
      <c r="C36" s="65"/>
      <c r="D36" s="63" t="s">
        <v>200</v>
      </c>
      <c r="E36" s="71"/>
      <c r="F36" s="59"/>
      <c r="G36" s="59"/>
      <c r="H36" s="15"/>
      <c r="I36" s="15"/>
      <c r="J36" s="15"/>
      <c r="K36" s="15"/>
      <c r="L36" s="15"/>
      <c r="M36" s="15"/>
      <c r="N36" s="17"/>
      <c r="O36" s="17"/>
      <c r="P36" s="17"/>
      <c r="Q36" s="17"/>
      <c r="R36" s="17"/>
      <c r="S36" s="17"/>
      <c r="T36" s="17"/>
      <c r="U36" s="17"/>
      <c r="V36" s="17"/>
      <c r="W36" s="17"/>
      <c r="X36" s="17"/>
      <c r="Y36" s="17"/>
      <c r="Z36" s="17"/>
      <c r="AA36" s="17"/>
      <c r="AB36" s="17"/>
    </row>
    <row r="37">
      <c r="A37" s="47">
        <f t="shared" si="1"/>
        <v>46274</v>
      </c>
      <c r="B37" s="4"/>
      <c r="C37" s="65"/>
      <c r="D37" s="66"/>
      <c r="E37" s="58"/>
      <c r="F37" s="59"/>
      <c r="G37" s="59"/>
      <c r="H37" s="15"/>
      <c r="I37" s="15"/>
      <c r="J37" s="15"/>
      <c r="K37" s="15"/>
      <c r="L37" s="15"/>
      <c r="M37" s="15"/>
      <c r="N37" s="17"/>
      <c r="O37" s="17"/>
      <c r="P37" s="17"/>
      <c r="Q37" s="17"/>
      <c r="R37" s="17"/>
      <c r="S37" s="17"/>
      <c r="T37" s="17"/>
      <c r="U37" s="17"/>
      <c r="V37" s="17"/>
      <c r="W37" s="17"/>
      <c r="X37" s="17"/>
      <c r="Y37" s="17"/>
      <c r="Z37" s="17"/>
      <c r="AA37" s="17"/>
      <c r="AB37" s="17"/>
    </row>
    <row r="38">
      <c r="A38" s="47">
        <f t="shared" si="1"/>
        <v>46274</v>
      </c>
      <c r="B38" s="4"/>
      <c r="C38" s="56">
        <f>C35+1</f>
        <v>12</v>
      </c>
      <c r="D38" s="57" t="s">
        <v>206</v>
      </c>
      <c r="E38" s="58"/>
      <c r="F38" s="59"/>
      <c r="G38" s="59"/>
      <c r="H38" s="15"/>
      <c r="I38" s="15"/>
      <c r="J38" s="15"/>
      <c r="K38" s="15"/>
      <c r="L38" s="15"/>
      <c r="M38" s="15"/>
      <c r="N38" s="17"/>
      <c r="O38" s="17"/>
      <c r="P38" s="17"/>
      <c r="Q38" s="17"/>
      <c r="R38" s="17"/>
      <c r="S38" s="17"/>
      <c r="T38" s="17"/>
      <c r="U38" s="17"/>
      <c r="V38" s="17"/>
      <c r="W38" s="17"/>
      <c r="X38" s="17"/>
      <c r="Y38" s="17"/>
      <c r="Z38" s="17"/>
      <c r="AA38" s="17"/>
      <c r="AB38" s="17"/>
    </row>
    <row r="39">
      <c r="A39" s="47">
        <f t="shared" si="1"/>
        <v>7</v>
      </c>
      <c r="B39" s="4">
        <v>46267.802083333336</v>
      </c>
      <c r="C39" s="65"/>
      <c r="D39" s="63" t="s">
        <v>209</v>
      </c>
      <c r="E39" s="71"/>
      <c r="F39" s="59"/>
      <c r="G39" s="59"/>
      <c r="H39" s="15"/>
      <c r="I39" s="15"/>
      <c r="J39" s="15"/>
      <c r="K39" s="15"/>
      <c r="L39" s="15"/>
      <c r="M39" s="15"/>
      <c r="N39" s="17"/>
      <c r="O39" s="17"/>
      <c r="P39" s="17"/>
      <c r="Q39" s="17"/>
      <c r="R39" s="17"/>
      <c r="S39" s="17"/>
      <c r="T39" s="17"/>
      <c r="U39" s="17"/>
      <c r="V39" s="17"/>
      <c r="W39" s="17"/>
      <c r="X39" s="17"/>
      <c r="Y39" s="17"/>
      <c r="Z39" s="17"/>
      <c r="AA39" s="17"/>
      <c r="AB39" s="17"/>
    </row>
    <row r="40">
      <c r="A40" s="47">
        <f t="shared" si="1"/>
        <v>46274</v>
      </c>
      <c r="B40" s="4"/>
      <c r="C40" s="65"/>
      <c r="D40" s="66"/>
      <c r="E40" s="58"/>
      <c r="F40" s="59"/>
      <c r="G40" s="59"/>
      <c r="H40" s="15"/>
      <c r="I40" s="15"/>
      <c r="J40" s="15"/>
      <c r="K40" s="15"/>
      <c r="L40" s="15"/>
      <c r="M40" s="15"/>
      <c r="N40" s="17"/>
      <c r="O40" s="17"/>
      <c r="P40" s="17"/>
      <c r="Q40" s="17"/>
      <c r="R40" s="17"/>
      <c r="S40" s="17"/>
      <c r="T40" s="17"/>
      <c r="U40" s="17"/>
      <c r="V40" s="17"/>
      <c r="W40" s="17"/>
      <c r="X40" s="17"/>
      <c r="Y40" s="17"/>
      <c r="Z40" s="17"/>
      <c r="AA40" s="17"/>
      <c r="AB40" s="17"/>
    </row>
    <row r="41">
      <c r="A41" s="47">
        <f t="shared" si="1"/>
        <v>46274</v>
      </c>
      <c r="B41" s="4"/>
      <c r="C41" s="56">
        <f>C38+1</f>
        <v>13</v>
      </c>
      <c r="D41" s="57" t="s">
        <v>217</v>
      </c>
      <c r="E41" s="58"/>
      <c r="F41" s="59"/>
      <c r="G41" s="59"/>
      <c r="H41" s="15"/>
      <c r="I41" s="15"/>
      <c r="J41" s="15"/>
      <c r="K41" s="15"/>
      <c r="L41" s="15"/>
      <c r="M41" s="15"/>
      <c r="N41" s="17"/>
      <c r="O41" s="17"/>
      <c r="P41" s="17"/>
      <c r="Q41" s="17"/>
      <c r="R41" s="17"/>
      <c r="S41" s="17"/>
      <c r="T41" s="17"/>
      <c r="U41" s="17"/>
      <c r="V41" s="17"/>
      <c r="W41" s="17"/>
      <c r="X41" s="17"/>
      <c r="Y41" s="17"/>
      <c r="Z41" s="17"/>
      <c r="AA41" s="17"/>
      <c r="AB41" s="17"/>
    </row>
    <row r="42">
      <c r="A42" s="47">
        <f t="shared" si="1"/>
        <v>7</v>
      </c>
      <c r="B42" s="4">
        <v>46267.802083333336</v>
      </c>
      <c r="C42" s="65"/>
      <c r="D42" s="103" t="s">
        <v>220</v>
      </c>
      <c r="E42" s="71"/>
      <c r="F42" s="59"/>
      <c r="G42" s="59"/>
      <c r="H42" s="15"/>
      <c r="I42" s="15"/>
      <c r="J42" s="15"/>
      <c r="K42" s="15"/>
      <c r="L42" s="15"/>
      <c r="M42" s="15"/>
      <c r="N42" s="17"/>
      <c r="O42" s="17"/>
      <c r="P42" s="17"/>
      <c r="Q42" s="17"/>
      <c r="R42" s="17"/>
      <c r="S42" s="17"/>
      <c r="T42" s="17"/>
      <c r="U42" s="17"/>
      <c r="V42" s="17"/>
      <c r="W42" s="17"/>
      <c r="X42" s="17"/>
      <c r="Y42" s="17"/>
      <c r="Z42" s="17"/>
      <c r="AA42" s="17"/>
      <c r="AB42" s="17"/>
    </row>
    <row r="43">
      <c r="A43" s="47">
        <f t="shared" si="1"/>
        <v>46274</v>
      </c>
      <c r="B43" s="4"/>
      <c r="C43" s="65"/>
      <c r="D43" s="66"/>
      <c r="E43" s="58"/>
      <c r="F43" s="59"/>
      <c r="G43" s="59"/>
      <c r="H43" s="15"/>
      <c r="I43" s="15"/>
      <c r="J43" s="15"/>
      <c r="K43" s="15"/>
      <c r="L43" s="15"/>
      <c r="M43" s="15"/>
      <c r="N43" s="17"/>
      <c r="O43" s="17"/>
      <c r="P43" s="17"/>
      <c r="Q43" s="17"/>
      <c r="R43" s="17"/>
      <c r="S43" s="17"/>
      <c r="T43" s="17"/>
      <c r="U43" s="17"/>
      <c r="V43" s="17"/>
      <c r="W43" s="17"/>
      <c r="X43" s="17"/>
      <c r="Y43" s="17"/>
      <c r="Z43" s="17"/>
      <c r="AA43" s="17"/>
      <c r="AB43" s="17"/>
    </row>
    <row r="44">
      <c r="A44" s="47">
        <f t="shared" si="1"/>
        <v>46274</v>
      </c>
      <c r="B44" s="4"/>
      <c r="C44" s="56">
        <f>C41+1</f>
        <v>14</v>
      </c>
      <c r="D44" s="57" t="s">
        <v>231</v>
      </c>
      <c r="E44" s="58"/>
      <c r="F44" s="59"/>
      <c r="G44" s="59"/>
      <c r="H44" s="15"/>
      <c r="I44" s="15"/>
      <c r="J44" s="15"/>
      <c r="K44" s="15"/>
      <c r="L44" s="15"/>
      <c r="M44" s="15"/>
      <c r="N44" s="17"/>
      <c r="O44" s="17"/>
      <c r="P44" s="17"/>
      <c r="Q44" s="17"/>
      <c r="R44" s="17"/>
      <c r="S44" s="17"/>
      <c r="T44" s="17"/>
      <c r="U44" s="17"/>
      <c r="V44" s="17"/>
      <c r="W44" s="17"/>
      <c r="X44" s="17"/>
      <c r="Y44" s="17"/>
      <c r="Z44" s="17"/>
      <c r="AA44" s="17"/>
      <c r="AB44" s="17"/>
    </row>
    <row r="45">
      <c r="A45" s="47">
        <f t="shared" si="1"/>
        <v>7</v>
      </c>
      <c r="B45" s="4">
        <v>46267.802083333336</v>
      </c>
      <c r="C45" s="65"/>
      <c r="D45" s="63" t="s">
        <v>234</v>
      </c>
      <c r="E45" s="71"/>
      <c r="F45" s="59"/>
      <c r="G45" s="59"/>
      <c r="H45" s="15"/>
      <c r="I45" s="15"/>
      <c r="J45" s="15"/>
      <c r="K45" s="15"/>
      <c r="L45" s="15"/>
      <c r="M45" s="15"/>
      <c r="N45" s="17"/>
      <c r="O45" s="17"/>
      <c r="P45" s="17"/>
      <c r="Q45" s="17"/>
      <c r="R45" s="17"/>
      <c r="S45" s="17"/>
      <c r="T45" s="17"/>
      <c r="U45" s="17"/>
      <c r="V45" s="17"/>
      <c r="W45" s="17"/>
      <c r="X45" s="17"/>
      <c r="Y45" s="17"/>
      <c r="Z45" s="17"/>
      <c r="AA45" s="17"/>
      <c r="AB45" s="17"/>
    </row>
    <row r="46">
      <c r="A46" s="47">
        <f t="shared" si="1"/>
        <v>46274</v>
      </c>
      <c r="B46" s="4"/>
      <c r="C46" s="65"/>
      <c r="D46" s="66"/>
      <c r="E46" s="58"/>
      <c r="F46" s="59"/>
      <c r="G46" s="59"/>
      <c r="H46" s="15"/>
      <c r="I46" s="15"/>
      <c r="J46" s="15"/>
      <c r="K46" s="15"/>
      <c r="L46" s="15"/>
      <c r="M46" s="15"/>
      <c r="N46" s="17"/>
      <c r="O46" s="17"/>
      <c r="P46" s="17"/>
      <c r="Q46" s="17"/>
      <c r="R46" s="17"/>
      <c r="S46" s="17"/>
      <c r="T46" s="17"/>
      <c r="U46" s="17"/>
      <c r="V46" s="17"/>
      <c r="W46" s="17"/>
      <c r="X46" s="17"/>
      <c r="Y46" s="17"/>
      <c r="Z46" s="17"/>
      <c r="AA46" s="17"/>
      <c r="AB46" s="17"/>
    </row>
    <row r="47">
      <c r="A47" s="47">
        <f t="shared" si="1"/>
        <v>46274</v>
      </c>
      <c r="B47" s="4"/>
      <c r="C47" s="56">
        <f>C44+1</f>
        <v>15</v>
      </c>
      <c r="D47" s="57" t="s">
        <v>238</v>
      </c>
      <c r="E47" s="58"/>
      <c r="F47" s="59"/>
      <c r="G47" s="59"/>
      <c r="H47" s="15"/>
      <c r="I47" s="15"/>
      <c r="J47" s="15"/>
      <c r="K47" s="15"/>
      <c r="L47" s="15"/>
      <c r="M47" s="15"/>
      <c r="N47" s="17"/>
      <c r="O47" s="17"/>
      <c r="P47" s="17"/>
      <c r="Q47" s="17"/>
      <c r="R47" s="17"/>
      <c r="S47" s="17"/>
      <c r="T47" s="17"/>
      <c r="U47" s="17"/>
      <c r="V47" s="17"/>
      <c r="W47" s="17"/>
      <c r="X47" s="17"/>
      <c r="Y47" s="17"/>
      <c r="Z47" s="17"/>
      <c r="AA47" s="17"/>
      <c r="AB47" s="17"/>
    </row>
    <row r="48">
      <c r="A48" s="47">
        <f t="shared" si="1"/>
        <v>7</v>
      </c>
      <c r="B48" s="4">
        <v>46267.802083333336</v>
      </c>
      <c r="C48" s="65"/>
      <c r="D48" s="63" t="s">
        <v>239</v>
      </c>
      <c r="E48" s="71"/>
      <c r="F48" s="59"/>
      <c r="G48" s="59"/>
      <c r="H48" s="15"/>
      <c r="I48" s="15"/>
      <c r="J48" s="15"/>
      <c r="K48" s="15"/>
      <c r="L48" s="15"/>
      <c r="M48" s="15"/>
      <c r="N48" s="17"/>
      <c r="O48" s="17"/>
      <c r="P48" s="17"/>
      <c r="Q48" s="17"/>
      <c r="R48" s="17"/>
      <c r="S48" s="17"/>
      <c r="T48" s="17"/>
      <c r="U48" s="17"/>
      <c r="V48" s="17"/>
      <c r="W48" s="17"/>
      <c r="X48" s="17"/>
      <c r="Y48" s="17"/>
      <c r="Z48" s="17"/>
      <c r="AA48" s="17"/>
      <c r="AB48" s="17"/>
    </row>
    <row r="49">
      <c r="A49" s="47">
        <f t="shared" si="1"/>
        <v>46274</v>
      </c>
      <c r="B49" s="4"/>
      <c r="C49" s="65"/>
      <c r="D49" s="66"/>
      <c r="E49" s="58"/>
      <c r="F49" s="59"/>
      <c r="G49" s="59"/>
      <c r="H49" s="15"/>
      <c r="I49" s="15"/>
      <c r="J49" s="15"/>
      <c r="K49" s="15"/>
      <c r="L49" s="15"/>
      <c r="M49" s="15"/>
      <c r="N49" s="17"/>
      <c r="O49" s="17"/>
      <c r="P49" s="17"/>
      <c r="Q49" s="17"/>
      <c r="R49" s="17"/>
      <c r="S49" s="17"/>
      <c r="T49" s="17"/>
      <c r="U49" s="17"/>
      <c r="V49" s="17"/>
      <c r="W49" s="17"/>
      <c r="X49" s="17"/>
      <c r="Y49" s="17"/>
      <c r="Z49" s="17"/>
      <c r="AA49" s="17"/>
      <c r="AB49" s="17"/>
    </row>
    <row r="50">
      <c r="A50" s="47">
        <f t="shared" si="1"/>
        <v>46274</v>
      </c>
      <c r="B50" s="4"/>
      <c r="C50" s="56">
        <f>C47+1</f>
        <v>16</v>
      </c>
      <c r="D50" s="57" t="s">
        <v>243</v>
      </c>
      <c r="E50" s="58"/>
      <c r="F50" s="59"/>
      <c r="G50" s="59"/>
      <c r="H50" s="15"/>
      <c r="I50" s="15"/>
      <c r="J50" s="15"/>
      <c r="K50" s="15"/>
      <c r="L50" s="15"/>
      <c r="M50" s="15"/>
      <c r="N50" s="17"/>
      <c r="O50" s="17"/>
      <c r="P50" s="17"/>
      <c r="Q50" s="17"/>
      <c r="R50" s="17"/>
      <c r="S50" s="17"/>
      <c r="T50" s="17"/>
      <c r="U50" s="17"/>
      <c r="V50" s="17"/>
      <c r="W50" s="17"/>
      <c r="X50" s="17"/>
      <c r="Y50" s="17"/>
      <c r="Z50" s="17"/>
      <c r="AA50" s="17"/>
      <c r="AB50" s="17"/>
    </row>
    <row r="51">
      <c r="A51" s="47">
        <f t="shared" si="1"/>
        <v>0</v>
      </c>
      <c r="B51" s="4">
        <v>46273.944444444445</v>
      </c>
      <c r="C51" s="65"/>
      <c r="D51" s="63" t="s">
        <v>244</v>
      </c>
      <c r="E51" s="111" t="s">
        <v>245</v>
      </c>
      <c r="F51" s="59"/>
      <c r="G51" s="59"/>
      <c r="H51" s="15"/>
      <c r="I51" s="15"/>
      <c r="J51" s="15"/>
      <c r="K51" s="15"/>
      <c r="L51" s="15"/>
      <c r="M51" s="15"/>
      <c r="N51" s="17"/>
      <c r="O51" s="17"/>
      <c r="P51" s="17"/>
      <c r="Q51" s="17"/>
      <c r="R51" s="17"/>
      <c r="S51" s="17"/>
      <c r="T51" s="17"/>
      <c r="U51" s="17"/>
      <c r="V51" s="17"/>
      <c r="W51" s="17"/>
      <c r="X51" s="17"/>
      <c r="Y51" s="17"/>
      <c r="Z51" s="17"/>
      <c r="AA51" s="17"/>
      <c r="AB51" s="17"/>
    </row>
    <row r="52">
      <c r="A52" s="47">
        <f t="shared" si="1"/>
        <v>46274</v>
      </c>
      <c r="B52" s="4"/>
      <c r="C52" s="65"/>
      <c r="D52" s="66"/>
      <c r="E52" s="58"/>
      <c r="F52" s="59"/>
      <c r="G52" s="59"/>
      <c r="H52" s="15"/>
      <c r="I52" s="15"/>
      <c r="J52" s="15"/>
      <c r="K52" s="15"/>
      <c r="L52" s="15"/>
      <c r="M52" s="15"/>
      <c r="N52" s="17"/>
      <c r="O52" s="17"/>
      <c r="P52" s="17"/>
      <c r="Q52" s="17"/>
      <c r="R52" s="17"/>
      <c r="S52" s="17"/>
      <c r="T52" s="17"/>
      <c r="U52" s="17"/>
      <c r="V52" s="17"/>
      <c r="W52" s="17"/>
      <c r="X52" s="17"/>
      <c r="Y52" s="17"/>
      <c r="Z52" s="17"/>
      <c r="AA52" s="17"/>
      <c r="AB52" s="17"/>
    </row>
    <row r="53">
      <c r="A53" s="47">
        <f t="shared" si="1"/>
        <v>46274</v>
      </c>
      <c r="B53" s="4"/>
      <c r="C53" s="56">
        <f>C50+1</f>
        <v>17</v>
      </c>
      <c r="D53" s="114" t="s">
        <v>248</v>
      </c>
      <c r="E53" s="115"/>
      <c r="F53" s="59"/>
      <c r="G53" s="59"/>
      <c r="H53" s="15"/>
      <c r="I53" s="15"/>
      <c r="J53" s="15"/>
      <c r="K53" s="15"/>
      <c r="L53" s="15"/>
      <c r="M53" s="15"/>
      <c r="N53" s="17"/>
      <c r="O53" s="17"/>
      <c r="P53" s="17"/>
      <c r="Q53" s="17"/>
      <c r="R53" s="17"/>
      <c r="S53" s="17"/>
      <c r="T53" s="17"/>
      <c r="U53" s="17"/>
      <c r="V53" s="17"/>
      <c r="W53" s="17"/>
      <c r="X53" s="17"/>
      <c r="Y53" s="17"/>
      <c r="Z53" s="17"/>
      <c r="AA53" s="17"/>
      <c r="AB53" s="17"/>
    </row>
    <row r="54">
      <c r="A54" s="47">
        <f t="shared" si="1"/>
        <v>0</v>
      </c>
      <c r="B54" s="4">
        <v>46273.9125</v>
      </c>
      <c r="C54" s="65"/>
      <c r="D54" s="63" t="s">
        <v>249</v>
      </c>
      <c r="E54" s="71"/>
      <c r="F54" s="59"/>
      <c r="G54" s="59"/>
      <c r="H54" s="15"/>
      <c r="I54" s="15"/>
      <c r="J54" s="15"/>
      <c r="K54" s="15"/>
      <c r="L54" s="15"/>
      <c r="M54" s="15"/>
      <c r="N54" s="17"/>
      <c r="O54" s="17"/>
      <c r="P54" s="17"/>
      <c r="Q54" s="17"/>
      <c r="R54" s="17"/>
      <c r="S54" s="17"/>
      <c r="T54" s="17"/>
      <c r="U54" s="17"/>
      <c r="V54" s="17"/>
      <c r="W54" s="17"/>
      <c r="X54" s="17"/>
      <c r="Y54" s="17"/>
      <c r="Z54" s="17"/>
      <c r="AA54" s="17"/>
      <c r="AB54" s="17"/>
    </row>
    <row r="55">
      <c r="A55" s="47">
        <f t="shared" si="1"/>
        <v>46274</v>
      </c>
      <c r="B55" s="4"/>
      <c r="C55" s="65"/>
      <c r="D55" s="63"/>
      <c r="E55" s="58"/>
      <c r="F55" s="59"/>
      <c r="G55" s="59"/>
      <c r="H55" s="15"/>
      <c r="I55" s="15"/>
      <c r="J55" s="15"/>
      <c r="K55" s="15"/>
      <c r="L55" s="15"/>
      <c r="M55" s="15"/>
      <c r="N55" s="17"/>
      <c r="O55" s="17"/>
      <c r="P55" s="17"/>
      <c r="Q55" s="17"/>
      <c r="R55" s="17"/>
      <c r="S55" s="17"/>
      <c r="T55" s="17"/>
      <c r="U55" s="17"/>
      <c r="V55" s="17"/>
      <c r="W55" s="17"/>
      <c r="X55" s="17"/>
      <c r="Y55" s="17"/>
      <c r="Z55" s="17"/>
      <c r="AA55" s="17"/>
      <c r="AB55" s="17"/>
    </row>
    <row r="56">
      <c r="A56" s="47">
        <f t="shared" si="1"/>
        <v>46274</v>
      </c>
      <c r="B56" s="4"/>
      <c r="C56" s="65">
        <f>C53+1</f>
        <v>18</v>
      </c>
      <c r="D56" s="114" t="s">
        <v>250</v>
      </c>
      <c r="E56" s="58"/>
      <c r="F56" s="59"/>
      <c r="G56" s="59"/>
      <c r="H56" s="15"/>
      <c r="I56" s="15"/>
      <c r="J56" s="15"/>
      <c r="K56" s="15"/>
      <c r="L56" s="15"/>
      <c r="M56" s="15"/>
      <c r="N56" s="17"/>
      <c r="O56" s="17"/>
      <c r="P56" s="17"/>
      <c r="Q56" s="17"/>
      <c r="R56" s="17"/>
      <c r="S56" s="17"/>
      <c r="T56" s="17"/>
      <c r="U56" s="17"/>
      <c r="V56" s="17"/>
      <c r="W56" s="17"/>
      <c r="X56" s="17"/>
      <c r="Y56" s="17"/>
      <c r="Z56" s="17"/>
      <c r="AA56" s="17"/>
      <c r="AB56" s="17"/>
    </row>
    <row r="57">
      <c r="A57" s="47">
        <f t="shared" si="1"/>
        <v>0</v>
      </c>
      <c r="B57" s="4">
        <v>46273.94861111111</v>
      </c>
      <c r="C57" s="65"/>
      <c r="D57" s="63" t="s">
        <v>252</v>
      </c>
      <c r="E57" s="71"/>
      <c r="F57" s="59"/>
      <c r="G57" s="59"/>
      <c r="H57" s="15"/>
      <c r="I57" s="15"/>
      <c r="J57" s="15"/>
      <c r="K57" s="15"/>
      <c r="L57" s="15"/>
      <c r="M57" s="15"/>
      <c r="N57" s="17"/>
      <c r="O57" s="17"/>
      <c r="P57" s="17"/>
      <c r="Q57" s="17"/>
      <c r="R57" s="17"/>
      <c r="S57" s="17"/>
      <c r="T57" s="17"/>
      <c r="U57" s="17"/>
      <c r="V57" s="17"/>
      <c r="W57" s="17"/>
      <c r="X57" s="17"/>
      <c r="Y57" s="17"/>
      <c r="Z57" s="17"/>
      <c r="AA57" s="17"/>
      <c r="AB57" s="17"/>
    </row>
    <row r="58">
      <c r="A58" s="47">
        <f t="shared" si="1"/>
        <v>46274</v>
      </c>
      <c r="B58" s="4"/>
      <c r="C58" s="65"/>
      <c r="D58" s="66"/>
      <c r="E58" s="58"/>
      <c r="F58" s="59"/>
      <c r="G58" s="59"/>
      <c r="H58" s="15"/>
      <c r="I58" s="15"/>
      <c r="J58" s="15"/>
      <c r="K58" s="15"/>
      <c r="L58" s="15"/>
      <c r="M58" s="15"/>
      <c r="N58" s="17"/>
      <c r="O58" s="17"/>
      <c r="P58" s="17"/>
      <c r="Q58" s="17"/>
      <c r="R58" s="17"/>
      <c r="S58" s="17"/>
      <c r="T58" s="17"/>
      <c r="U58" s="17"/>
      <c r="V58" s="17"/>
      <c r="W58" s="17"/>
      <c r="X58" s="17"/>
      <c r="Y58" s="17"/>
      <c r="Z58" s="17"/>
      <c r="AA58" s="17"/>
      <c r="AB58" s="17"/>
    </row>
    <row r="59">
      <c r="A59" s="47">
        <f t="shared" si="1"/>
        <v>46274</v>
      </c>
      <c r="B59" s="4"/>
      <c r="C59" s="56">
        <f>C56+1</f>
        <v>19</v>
      </c>
      <c r="D59" s="83" t="s">
        <v>254</v>
      </c>
      <c r="E59" s="94"/>
      <c r="F59" s="59"/>
      <c r="G59" s="59"/>
      <c r="H59" s="15"/>
      <c r="I59" s="15"/>
      <c r="J59" s="15"/>
      <c r="K59" s="15"/>
      <c r="L59" s="15"/>
      <c r="M59" s="15"/>
      <c r="N59" s="17"/>
      <c r="O59" s="17"/>
      <c r="P59" s="17"/>
      <c r="Q59" s="17"/>
      <c r="R59" s="17"/>
      <c r="S59" s="17"/>
      <c r="T59" s="17"/>
      <c r="U59" s="17"/>
      <c r="V59" s="17"/>
      <c r="W59" s="17"/>
      <c r="X59" s="17"/>
      <c r="Y59" s="17"/>
      <c r="Z59" s="17"/>
      <c r="AA59" s="17"/>
      <c r="AB59" s="17"/>
    </row>
    <row r="60">
      <c r="A60" s="47">
        <f t="shared" si="1"/>
        <v>0</v>
      </c>
      <c r="B60" s="4">
        <v>46273.96944444445</v>
      </c>
      <c r="C60" s="65"/>
      <c r="D60" s="126" t="s">
        <v>255</v>
      </c>
      <c r="E60" s="126" t="s">
        <v>256</v>
      </c>
      <c r="F60" s="126" t="s">
        <v>257</v>
      </c>
      <c r="G60" s="126" t="s">
        <v>258</v>
      </c>
      <c r="H60" s="15"/>
      <c r="I60" s="15"/>
      <c r="J60" s="15"/>
      <c r="K60" s="15"/>
      <c r="L60" s="15"/>
      <c r="M60" s="15"/>
      <c r="N60" s="17"/>
      <c r="O60" s="17"/>
      <c r="P60" s="17"/>
      <c r="Q60" s="17"/>
      <c r="R60" s="17"/>
      <c r="S60" s="17"/>
      <c r="T60" s="17"/>
      <c r="U60" s="17"/>
      <c r="V60" s="17"/>
      <c r="W60" s="17"/>
      <c r="X60" s="17"/>
      <c r="Y60" s="17"/>
      <c r="Z60" s="17"/>
      <c r="AA60" s="17"/>
      <c r="AB60" s="17"/>
    </row>
    <row r="61">
      <c r="A61" s="47">
        <f t="shared" si="1"/>
        <v>46274</v>
      </c>
      <c r="B61" s="4"/>
      <c r="C61" s="65"/>
      <c r="D61" s="66"/>
      <c r="E61" s="58"/>
      <c r="F61" s="59"/>
      <c r="G61" s="59"/>
      <c r="H61" s="15"/>
      <c r="I61" s="15"/>
      <c r="J61" s="15"/>
      <c r="K61" s="15"/>
      <c r="L61" s="15"/>
      <c r="M61" s="15"/>
      <c r="N61" s="17"/>
      <c r="O61" s="17"/>
      <c r="P61" s="17"/>
      <c r="Q61" s="17"/>
      <c r="R61" s="17"/>
      <c r="S61" s="17"/>
      <c r="T61" s="17"/>
      <c r="U61" s="17"/>
      <c r="V61" s="17"/>
      <c r="W61" s="17"/>
      <c r="X61" s="17"/>
      <c r="Y61" s="17"/>
      <c r="Z61" s="17"/>
      <c r="AA61" s="17"/>
      <c r="AB61" s="17"/>
    </row>
    <row r="62">
      <c r="A62" s="47">
        <f t="shared" si="1"/>
        <v>46274</v>
      </c>
      <c r="B62" s="4"/>
      <c r="C62" s="56">
        <f>C59+1</f>
        <v>20</v>
      </c>
      <c r="D62" s="57" t="s">
        <v>261</v>
      </c>
      <c r="E62" s="58"/>
      <c r="F62" s="59"/>
      <c r="G62" s="59"/>
      <c r="H62" s="15"/>
      <c r="I62" s="15"/>
      <c r="J62" s="15"/>
      <c r="K62" s="15"/>
      <c r="L62" s="15"/>
      <c r="M62" s="15"/>
      <c r="N62" s="17"/>
      <c r="O62" s="17"/>
      <c r="P62" s="17"/>
      <c r="Q62" s="17"/>
      <c r="R62" s="17"/>
      <c r="S62" s="17"/>
      <c r="T62" s="17"/>
      <c r="U62" s="17"/>
      <c r="V62" s="17"/>
      <c r="W62" s="17"/>
      <c r="X62" s="17"/>
      <c r="Y62" s="17"/>
      <c r="Z62" s="17"/>
      <c r="AA62" s="17"/>
      <c r="AB62" s="17"/>
    </row>
    <row r="63">
      <c r="A63" s="47">
        <f t="shared" si="1"/>
        <v>46274</v>
      </c>
      <c r="B63" s="4"/>
      <c r="C63" s="65"/>
      <c r="D63" s="63"/>
      <c r="E63" s="71"/>
      <c r="F63" s="59"/>
      <c r="G63" s="59"/>
      <c r="H63" s="15"/>
      <c r="I63" s="15"/>
      <c r="J63" s="15"/>
      <c r="K63" s="15"/>
      <c r="L63" s="15"/>
      <c r="M63" s="15"/>
      <c r="N63" s="17"/>
      <c r="O63" s="17"/>
      <c r="P63" s="17"/>
      <c r="Q63" s="17"/>
      <c r="R63" s="17"/>
      <c r="S63" s="17"/>
      <c r="T63" s="17"/>
      <c r="U63" s="17"/>
      <c r="V63" s="17"/>
      <c r="W63" s="17"/>
      <c r="X63" s="17"/>
      <c r="Y63" s="17"/>
      <c r="Z63" s="17"/>
      <c r="AA63" s="17"/>
      <c r="AB63" s="17"/>
    </row>
    <row r="64">
      <c r="A64" s="47">
        <f t="shared" si="1"/>
        <v>46274</v>
      </c>
      <c r="B64" s="4"/>
      <c r="C64" s="65"/>
      <c r="D64" s="66"/>
      <c r="E64" s="58"/>
      <c r="F64" s="59"/>
      <c r="G64" s="59"/>
      <c r="H64" s="15"/>
      <c r="I64" s="15"/>
      <c r="J64" s="15"/>
      <c r="K64" s="15"/>
      <c r="L64" s="15"/>
      <c r="M64" s="15"/>
      <c r="N64" s="17"/>
      <c r="O64" s="17"/>
      <c r="P64" s="17"/>
      <c r="Q64" s="17"/>
      <c r="R64" s="17"/>
      <c r="S64" s="17"/>
      <c r="T64" s="17"/>
      <c r="U64" s="17"/>
      <c r="V64" s="17"/>
      <c r="W64" s="17"/>
      <c r="X64" s="17"/>
      <c r="Y64" s="17"/>
      <c r="Z64" s="17"/>
      <c r="AA64" s="17"/>
      <c r="AB64" s="17"/>
    </row>
    <row r="65">
      <c r="A65" s="47">
        <f t="shared" si="1"/>
        <v>46274</v>
      </c>
      <c r="B65" s="4"/>
      <c r="C65" s="56">
        <f>C62+1</f>
        <v>21</v>
      </c>
      <c r="D65" s="57" t="s">
        <v>261</v>
      </c>
      <c r="E65" s="58"/>
      <c r="F65" s="59"/>
      <c r="G65" s="59"/>
      <c r="H65" s="15"/>
      <c r="I65" s="15"/>
      <c r="J65" s="15"/>
      <c r="K65" s="15"/>
      <c r="L65" s="15"/>
      <c r="M65" s="15"/>
      <c r="N65" s="17"/>
      <c r="O65" s="17"/>
      <c r="P65" s="17"/>
      <c r="Q65" s="17"/>
      <c r="R65" s="17"/>
      <c r="S65" s="17"/>
      <c r="T65" s="17"/>
      <c r="U65" s="17"/>
      <c r="V65" s="17"/>
      <c r="W65" s="17"/>
      <c r="X65" s="17"/>
      <c r="Y65" s="17"/>
      <c r="Z65" s="17"/>
      <c r="AA65" s="17"/>
      <c r="AB65" s="17"/>
    </row>
    <row r="66">
      <c r="A66" s="47">
        <f t="shared" si="1"/>
        <v>46274</v>
      </c>
      <c r="B66" s="4"/>
      <c r="C66" s="65"/>
      <c r="D66" s="63"/>
      <c r="E66" s="71"/>
      <c r="F66" s="59"/>
      <c r="G66" s="59"/>
      <c r="H66" s="15"/>
      <c r="I66" s="15"/>
      <c r="J66" s="15"/>
      <c r="K66" s="15"/>
      <c r="L66" s="15"/>
      <c r="M66" s="15"/>
      <c r="N66" s="17"/>
      <c r="O66" s="17"/>
      <c r="P66" s="17"/>
      <c r="Q66" s="17"/>
      <c r="R66" s="17"/>
      <c r="S66" s="17"/>
      <c r="T66" s="17"/>
      <c r="U66" s="17"/>
      <c r="V66" s="17"/>
      <c r="W66" s="17"/>
      <c r="X66" s="17"/>
      <c r="Y66" s="17"/>
      <c r="Z66" s="17"/>
      <c r="AA66" s="17"/>
      <c r="AB66" s="17"/>
    </row>
    <row r="67">
      <c r="A67" s="47">
        <f t="shared" si="1"/>
        <v>46274</v>
      </c>
      <c r="B67" s="4"/>
      <c r="C67" s="65"/>
      <c r="D67" s="66"/>
      <c r="E67" s="58"/>
      <c r="F67" s="59"/>
      <c r="G67" s="59"/>
      <c r="H67" s="15"/>
      <c r="I67" s="15"/>
      <c r="J67" s="15"/>
      <c r="K67" s="15"/>
      <c r="L67" s="15"/>
      <c r="M67" s="15"/>
      <c r="N67" s="17"/>
      <c r="O67" s="17"/>
      <c r="P67" s="17"/>
      <c r="Q67" s="17"/>
      <c r="R67" s="17"/>
      <c r="S67" s="17"/>
      <c r="T67" s="17"/>
      <c r="U67" s="17"/>
      <c r="V67" s="17"/>
      <c r="W67" s="17"/>
      <c r="X67" s="17"/>
      <c r="Y67" s="17"/>
      <c r="Z67" s="17"/>
      <c r="AA67" s="17"/>
      <c r="AB67" s="17"/>
    </row>
    <row r="68">
      <c r="A68" s="47">
        <f t="shared" si="1"/>
        <v>46274</v>
      </c>
      <c r="B68" s="4"/>
      <c r="C68" s="56">
        <f>C65+1</f>
        <v>22</v>
      </c>
      <c r="D68" s="57" t="s">
        <v>261</v>
      </c>
      <c r="E68" s="58"/>
      <c r="F68" s="59"/>
      <c r="G68" s="59"/>
      <c r="H68" s="15"/>
      <c r="I68" s="15"/>
      <c r="J68" s="15"/>
      <c r="K68" s="15"/>
      <c r="L68" s="15"/>
      <c r="M68" s="15"/>
      <c r="N68" s="17"/>
      <c r="O68" s="17"/>
      <c r="P68" s="17"/>
      <c r="Q68" s="17"/>
      <c r="R68" s="17"/>
      <c r="S68" s="17"/>
      <c r="T68" s="17"/>
      <c r="U68" s="17"/>
      <c r="V68" s="17"/>
      <c r="W68" s="17"/>
      <c r="X68" s="17"/>
      <c r="Y68" s="17"/>
      <c r="Z68" s="17"/>
      <c r="AA68" s="17"/>
      <c r="AB68" s="17"/>
    </row>
    <row r="69">
      <c r="A69" s="47">
        <f t="shared" si="1"/>
        <v>46274</v>
      </c>
      <c r="B69" s="4"/>
      <c r="C69" s="65"/>
      <c r="D69" s="63"/>
      <c r="E69" s="71"/>
      <c r="F69" s="59"/>
      <c r="G69" s="59"/>
      <c r="H69" s="15"/>
      <c r="I69" s="15"/>
      <c r="J69" s="15"/>
      <c r="K69" s="15"/>
      <c r="L69" s="15"/>
      <c r="M69" s="15"/>
      <c r="N69" s="17"/>
      <c r="O69" s="17"/>
      <c r="P69" s="17"/>
      <c r="Q69" s="17"/>
      <c r="R69" s="17"/>
      <c r="S69" s="17"/>
      <c r="T69" s="17"/>
      <c r="U69" s="17"/>
      <c r="V69" s="17"/>
      <c r="W69" s="17"/>
      <c r="X69" s="17"/>
      <c r="Y69" s="17"/>
      <c r="Z69" s="17"/>
      <c r="AA69" s="17"/>
      <c r="AB69" s="17"/>
    </row>
    <row r="70">
      <c r="A70" s="47">
        <f t="shared" si="1"/>
        <v>46274</v>
      </c>
      <c r="B70" s="4"/>
      <c r="C70" s="65"/>
      <c r="D70" s="66"/>
      <c r="E70" s="58"/>
      <c r="F70" s="59"/>
      <c r="G70" s="59"/>
      <c r="H70" s="15"/>
      <c r="I70" s="15"/>
      <c r="J70" s="15"/>
      <c r="K70" s="15"/>
      <c r="L70" s="15"/>
      <c r="M70" s="15"/>
      <c r="N70" s="17"/>
      <c r="O70" s="17"/>
      <c r="P70" s="17"/>
      <c r="Q70" s="17"/>
      <c r="R70" s="17"/>
      <c r="S70" s="17"/>
      <c r="T70" s="17"/>
      <c r="U70" s="17"/>
      <c r="V70" s="17"/>
      <c r="W70" s="17"/>
      <c r="X70" s="17"/>
      <c r="Y70" s="17"/>
      <c r="Z70" s="17"/>
      <c r="AA70" s="17"/>
      <c r="AB70" s="17"/>
    </row>
    <row r="71">
      <c r="A71" s="47">
        <f t="shared" si="1"/>
        <v>46274</v>
      </c>
      <c r="B71" s="4"/>
      <c r="C71" s="56">
        <f>C68+1</f>
        <v>23</v>
      </c>
      <c r="D71" s="57" t="s">
        <v>261</v>
      </c>
      <c r="E71" s="58"/>
      <c r="F71" s="59"/>
      <c r="G71" s="59"/>
      <c r="H71" s="15"/>
      <c r="I71" s="15"/>
      <c r="J71" s="15"/>
      <c r="K71" s="15"/>
      <c r="L71" s="15"/>
      <c r="M71" s="15"/>
      <c r="N71" s="17"/>
      <c r="O71" s="17"/>
      <c r="P71" s="17"/>
      <c r="Q71" s="17"/>
      <c r="R71" s="17"/>
      <c r="S71" s="17"/>
      <c r="T71" s="17"/>
      <c r="U71" s="17"/>
      <c r="V71" s="17"/>
      <c r="W71" s="17"/>
      <c r="X71" s="17"/>
      <c r="Y71" s="17"/>
      <c r="Z71" s="17"/>
      <c r="AA71" s="17"/>
      <c r="AB71" s="17"/>
    </row>
    <row r="72">
      <c r="A72" s="47">
        <f t="shared" si="1"/>
        <v>46274</v>
      </c>
      <c r="B72" s="4"/>
      <c r="C72" s="65"/>
      <c r="D72" s="63"/>
      <c r="E72" s="71"/>
      <c r="F72" s="59"/>
      <c r="G72" s="59"/>
      <c r="H72" s="15"/>
      <c r="I72" s="15"/>
      <c r="J72" s="15"/>
      <c r="K72" s="15"/>
      <c r="L72" s="15"/>
      <c r="M72" s="15"/>
      <c r="N72" s="17"/>
      <c r="O72" s="17"/>
      <c r="P72" s="17"/>
      <c r="Q72" s="17"/>
      <c r="R72" s="17"/>
      <c r="S72" s="17"/>
      <c r="T72" s="17"/>
      <c r="U72" s="17"/>
      <c r="V72" s="17"/>
      <c r="W72" s="17"/>
      <c r="X72" s="17"/>
      <c r="Y72" s="17"/>
      <c r="Z72" s="17"/>
      <c r="AA72" s="17"/>
      <c r="AB72" s="17"/>
    </row>
    <row r="73">
      <c r="A73" s="47">
        <f t="shared" si="1"/>
        <v>46274</v>
      </c>
      <c r="B73" s="4"/>
      <c r="C73" s="65"/>
      <c r="D73" s="66"/>
      <c r="E73" s="58"/>
      <c r="F73" s="59"/>
      <c r="G73" s="59"/>
      <c r="H73" s="15"/>
      <c r="I73" s="15"/>
      <c r="J73" s="15"/>
      <c r="K73" s="15"/>
      <c r="L73" s="15"/>
      <c r="M73" s="15"/>
      <c r="N73" s="17"/>
      <c r="O73" s="17"/>
      <c r="P73" s="17"/>
      <c r="Q73" s="17"/>
      <c r="R73" s="17"/>
      <c r="S73" s="17"/>
      <c r="T73" s="17"/>
      <c r="U73" s="17"/>
      <c r="V73" s="17"/>
      <c r="W73" s="17"/>
      <c r="X73" s="17"/>
      <c r="Y73" s="17"/>
      <c r="Z73" s="17"/>
      <c r="AA73" s="17"/>
      <c r="AB73" s="17"/>
    </row>
    <row r="74">
      <c r="A74" s="47">
        <f t="shared" si="1"/>
        <v>46274</v>
      </c>
      <c r="B74" s="4"/>
      <c r="C74" s="56">
        <f>C71+1</f>
        <v>24</v>
      </c>
      <c r="D74" s="57" t="s">
        <v>261</v>
      </c>
      <c r="E74" s="58"/>
      <c r="F74" s="59"/>
      <c r="G74" s="59"/>
      <c r="H74" s="15"/>
      <c r="I74" s="15"/>
      <c r="J74" s="15"/>
      <c r="K74" s="15"/>
      <c r="L74" s="15"/>
      <c r="M74" s="15"/>
      <c r="N74" s="17"/>
      <c r="O74" s="17"/>
      <c r="P74" s="17"/>
      <c r="Q74" s="17"/>
      <c r="R74" s="17"/>
      <c r="S74" s="17"/>
      <c r="T74" s="17"/>
      <c r="U74" s="17"/>
      <c r="V74" s="17"/>
      <c r="W74" s="17"/>
      <c r="X74" s="17"/>
      <c r="Y74" s="17"/>
      <c r="Z74" s="17"/>
      <c r="AA74" s="17"/>
      <c r="AB74" s="17"/>
    </row>
    <row r="75">
      <c r="A75" s="47">
        <f t="shared" si="1"/>
        <v>46274</v>
      </c>
      <c r="B75" s="4"/>
      <c r="C75" s="65"/>
      <c r="D75" s="63"/>
      <c r="E75" s="71"/>
      <c r="F75" s="59"/>
      <c r="G75" s="59"/>
      <c r="H75" s="15"/>
      <c r="I75" s="15"/>
      <c r="J75" s="15"/>
      <c r="K75" s="15"/>
      <c r="L75" s="15"/>
      <c r="M75" s="15"/>
      <c r="N75" s="17"/>
      <c r="O75" s="17"/>
      <c r="P75" s="17"/>
      <c r="Q75" s="17"/>
      <c r="R75" s="17"/>
      <c r="S75" s="17"/>
      <c r="T75" s="17"/>
      <c r="U75" s="17"/>
      <c r="V75" s="17"/>
      <c r="W75" s="17"/>
      <c r="X75" s="17"/>
      <c r="Y75" s="17"/>
      <c r="Z75" s="17"/>
      <c r="AA75" s="17"/>
      <c r="AB75" s="17"/>
    </row>
    <row r="76">
      <c r="A76" s="47">
        <f t="shared" si="1"/>
        <v>46274</v>
      </c>
      <c r="B76" s="4"/>
      <c r="C76" s="65"/>
      <c r="D76" s="66"/>
      <c r="E76" s="58"/>
      <c r="F76" s="59"/>
      <c r="G76" s="59"/>
      <c r="H76" s="15"/>
      <c r="I76" s="15"/>
      <c r="J76" s="15"/>
      <c r="K76" s="15"/>
      <c r="L76" s="15"/>
      <c r="M76" s="15"/>
      <c r="N76" s="17"/>
      <c r="O76" s="17"/>
      <c r="P76" s="17"/>
      <c r="Q76" s="17"/>
      <c r="R76" s="17"/>
      <c r="S76" s="17"/>
      <c r="T76" s="17"/>
      <c r="U76" s="17"/>
      <c r="V76" s="17"/>
      <c r="W76" s="17"/>
      <c r="X76" s="17"/>
      <c r="Y76" s="17"/>
      <c r="Z76" s="17"/>
      <c r="AA76" s="17"/>
      <c r="AB76" s="17"/>
    </row>
    <row r="77">
      <c r="A77" s="47">
        <f t="shared" si="1"/>
        <v>46274</v>
      </c>
      <c r="B77" s="4"/>
      <c r="C77" s="56">
        <f>C74+1</f>
        <v>25</v>
      </c>
      <c r="D77" s="57" t="s">
        <v>261</v>
      </c>
      <c r="E77" s="58"/>
      <c r="F77" s="59"/>
      <c r="G77" s="59"/>
      <c r="H77" s="15"/>
      <c r="I77" s="15"/>
      <c r="J77" s="15"/>
      <c r="K77" s="15"/>
      <c r="L77" s="15"/>
      <c r="M77" s="15"/>
      <c r="N77" s="17"/>
      <c r="O77" s="17"/>
      <c r="P77" s="17"/>
      <c r="Q77" s="17"/>
      <c r="R77" s="17"/>
      <c r="S77" s="17"/>
      <c r="T77" s="17"/>
      <c r="U77" s="17"/>
      <c r="V77" s="17"/>
      <c r="W77" s="17"/>
      <c r="X77" s="17"/>
      <c r="Y77" s="17"/>
      <c r="Z77" s="17"/>
      <c r="AA77" s="17"/>
      <c r="AB77" s="17"/>
    </row>
    <row r="78">
      <c r="A78" s="47">
        <f t="shared" si="1"/>
        <v>46274</v>
      </c>
      <c r="B78" s="4"/>
      <c r="C78" s="65"/>
      <c r="D78" s="63"/>
      <c r="E78" s="71"/>
      <c r="F78" s="59"/>
      <c r="G78" s="59"/>
      <c r="H78" s="15"/>
      <c r="I78" s="15"/>
      <c r="J78" s="15"/>
      <c r="K78" s="15"/>
      <c r="L78" s="15"/>
      <c r="M78" s="15"/>
      <c r="N78" s="17"/>
      <c r="O78" s="17"/>
      <c r="P78" s="17"/>
      <c r="Q78" s="17"/>
      <c r="R78" s="17"/>
      <c r="S78" s="17"/>
      <c r="T78" s="17"/>
      <c r="U78" s="17"/>
      <c r="V78" s="17"/>
      <c r="W78" s="17"/>
      <c r="X78" s="17"/>
      <c r="Y78" s="17"/>
      <c r="Z78" s="17"/>
      <c r="AA78" s="17"/>
      <c r="AB78" s="17"/>
    </row>
    <row r="79">
      <c r="A79" s="47">
        <f t="shared" si="1"/>
        <v>46274</v>
      </c>
      <c r="B79" s="4"/>
      <c r="C79" s="65"/>
      <c r="D79" s="66"/>
      <c r="E79" s="58"/>
      <c r="F79" s="59"/>
      <c r="G79" s="59"/>
      <c r="H79" s="15"/>
      <c r="I79" s="15"/>
      <c r="J79" s="15"/>
      <c r="K79" s="15"/>
      <c r="L79" s="15"/>
      <c r="M79" s="15"/>
      <c r="N79" s="17"/>
      <c r="O79" s="17"/>
      <c r="P79" s="17"/>
      <c r="Q79" s="17"/>
      <c r="R79" s="17"/>
      <c r="S79" s="17"/>
      <c r="T79" s="17"/>
      <c r="U79" s="17"/>
      <c r="V79" s="17"/>
      <c r="W79" s="17"/>
      <c r="X79" s="17"/>
      <c r="Y79" s="17"/>
      <c r="Z79" s="17"/>
      <c r="AA79" s="17"/>
      <c r="AB79" s="17"/>
    </row>
    <row r="80">
      <c r="A80" s="47">
        <f t="shared" si="1"/>
        <v>46274</v>
      </c>
      <c r="B80" s="4"/>
      <c r="C80" s="56">
        <f>C77+1</f>
        <v>26</v>
      </c>
      <c r="D80" s="57" t="s">
        <v>261</v>
      </c>
      <c r="E80" s="58"/>
      <c r="F80" s="59"/>
      <c r="G80" s="59"/>
      <c r="H80" s="15"/>
      <c r="I80" s="15"/>
      <c r="J80" s="15"/>
      <c r="K80" s="15"/>
      <c r="L80" s="15"/>
      <c r="M80" s="15"/>
      <c r="N80" s="17"/>
      <c r="O80" s="17"/>
      <c r="P80" s="17"/>
      <c r="Q80" s="17"/>
      <c r="R80" s="17"/>
      <c r="S80" s="17"/>
      <c r="T80" s="17"/>
      <c r="U80" s="17"/>
      <c r="V80" s="17"/>
      <c r="W80" s="17"/>
      <c r="X80" s="17"/>
      <c r="Y80" s="17"/>
      <c r="Z80" s="17"/>
      <c r="AA80" s="17"/>
      <c r="AB80" s="17"/>
    </row>
    <row r="81">
      <c r="A81" s="47">
        <f t="shared" si="1"/>
        <v>46274</v>
      </c>
      <c r="B81" s="4"/>
      <c r="C81" s="65"/>
      <c r="D81" s="63"/>
      <c r="E81" s="71"/>
      <c r="F81" s="59"/>
      <c r="G81" s="59"/>
      <c r="H81" s="15"/>
      <c r="I81" s="15"/>
      <c r="J81" s="15"/>
      <c r="K81" s="15"/>
      <c r="L81" s="15"/>
      <c r="M81" s="15"/>
      <c r="N81" s="17"/>
      <c r="O81" s="17"/>
      <c r="P81" s="17"/>
      <c r="Q81" s="17"/>
      <c r="R81" s="17"/>
      <c r="S81" s="17"/>
      <c r="T81" s="17"/>
      <c r="U81" s="17"/>
      <c r="V81" s="17"/>
      <c r="W81" s="17"/>
      <c r="X81" s="17"/>
      <c r="Y81" s="17"/>
      <c r="Z81" s="17"/>
      <c r="AA81" s="17"/>
      <c r="AB81" s="17"/>
    </row>
    <row r="82">
      <c r="A82" s="47">
        <f t="shared" si="1"/>
        <v>46274</v>
      </c>
      <c r="B82" s="4"/>
      <c r="C82" s="65"/>
      <c r="D82" s="66"/>
      <c r="E82" s="58"/>
      <c r="F82" s="59"/>
      <c r="G82" s="59"/>
      <c r="H82" s="15"/>
      <c r="I82" s="15"/>
      <c r="J82" s="15"/>
      <c r="K82" s="15"/>
      <c r="L82" s="15"/>
      <c r="M82" s="15"/>
      <c r="N82" s="17"/>
      <c r="O82" s="17"/>
      <c r="P82" s="17"/>
      <c r="Q82" s="17"/>
      <c r="R82" s="17"/>
      <c r="S82" s="17"/>
      <c r="T82" s="17"/>
      <c r="U82" s="17"/>
      <c r="V82" s="17"/>
      <c r="W82" s="17"/>
      <c r="X82" s="17"/>
      <c r="Y82" s="17"/>
      <c r="Z82" s="17"/>
      <c r="AA82" s="17"/>
      <c r="AB82" s="17"/>
    </row>
    <row r="83">
      <c r="A83" s="47">
        <f t="shared" si="1"/>
        <v>46274</v>
      </c>
      <c r="B83" s="4"/>
      <c r="C83" s="56">
        <f>C80+1</f>
        <v>27</v>
      </c>
      <c r="D83" s="57" t="s">
        <v>261</v>
      </c>
      <c r="E83" s="58"/>
      <c r="F83" s="59"/>
      <c r="G83" s="59"/>
      <c r="H83" s="15"/>
      <c r="I83" s="15"/>
      <c r="J83" s="15"/>
      <c r="K83" s="15"/>
      <c r="L83" s="15"/>
      <c r="M83" s="15"/>
      <c r="N83" s="17"/>
      <c r="O83" s="17"/>
      <c r="P83" s="17"/>
      <c r="Q83" s="17"/>
      <c r="R83" s="17"/>
      <c r="S83" s="17"/>
      <c r="T83" s="17"/>
      <c r="U83" s="17"/>
      <c r="V83" s="17"/>
      <c r="W83" s="17"/>
      <c r="X83" s="17"/>
      <c r="Y83" s="17"/>
      <c r="Z83" s="17"/>
      <c r="AA83" s="17"/>
      <c r="AB83" s="17"/>
    </row>
    <row r="84">
      <c r="A84" s="47">
        <f t="shared" si="1"/>
        <v>46274</v>
      </c>
      <c r="B84" s="4"/>
      <c r="C84" s="65"/>
      <c r="D84" s="63"/>
      <c r="E84" s="71"/>
      <c r="F84" s="59"/>
      <c r="G84" s="59"/>
      <c r="H84" s="15"/>
      <c r="I84" s="15"/>
      <c r="J84" s="15"/>
      <c r="K84" s="15"/>
      <c r="L84" s="15"/>
      <c r="M84" s="15"/>
      <c r="N84" s="17"/>
      <c r="O84" s="17"/>
      <c r="P84" s="17"/>
      <c r="Q84" s="17"/>
      <c r="R84" s="17"/>
      <c r="S84" s="17"/>
      <c r="T84" s="17"/>
      <c r="U84" s="17"/>
      <c r="V84" s="17"/>
      <c r="W84" s="17"/>
      <c r="X84" s="17"/>
      <c r="Y84" s="17"/>
      <c r="Z84" s="17"/>
      <c r="AA84" s="17"/>
      <c r="AB84" s="17"/>
    </row>
    <row r="85">
      <c r="A85" s="47">
        <f t="shared" si="1"/>
        <v>46274</v>
      </c>
      <c r="B85" s="4"/>
      <c r="C85" s="65"/>
      <c r="D85" s="66"/>
      <c r="E85" s="58"/>
      <c r="F85" s="59"/>
      <c r="G85" s="59"/>
      <c r="H85" s="15"/>
      <c r="I85" s="15"/>
      <c r="J85" s="15"/>
      <c r="K85" s="15"/>
      <c r="L85" s="15"/>
      <c r="M85" s="15"/>
      <c r="N85" s="17"/>
      <c r="O85" s="17"/>
      <c r="P85" s="17"/>
      <c r="Q85" s="17"/>
      <c r="R85" s="17"/>
      <c r="S85" s="17"/>
      <c r="T85" s="17"/>
      <c r="U85" s="17"/>
      <c r="V85" s="17"/>
      <c r="W85" s="17"/>
      <c r="X85" s="17"/>
      <c r="Y85" s="17"/>
      <c r="Z85" s="17"/>
      <c r="AA85" s="17"/>
      <c r="AB85" s="17"/>
    </row>
    <row r="86">
      <c r="A86" s="47">
        <f t="shared" si="1"/>
        <v>46274</v>
      </c>
      <c r="B86" s="4"/>
      <c r="C86" s="56">
        <f>C83+1</f>
        <v>28</v>
      </c>
      <c r="D86" s="57" t="s">
        <v>261</v>
      </c>
      <c r="E86" s="58"/>
      <c r="F86" s="59"/>
      <c r="G86" s="59"/>
      <c r="H86" s="15"/>
      <c r="I86" s="15"/>
      <c r="J86" s="15"/>
      <c r="K86" s="15"/>
      <c r="L86" s="15"/>
      <c r="M86" s="15"/>
      <c r="N86" s="17"/>
      <c r="O86" s="17"/>
      <c r="P86" s="17"/>
      <c r="Q86" s="17"/>
      <c r="R86" s="17"/>
      <c r="S86" s="17"/>
      <c r="T86" s="17"/>
      <c r="U86" s="17"/>
      <c r="V86" s="17"/>
      <c r="W86" s="17"/>
      <c r="X86" s="17"/>
      <c r="Y86" s="17"/>
      <c r="Z86" s="17"/>
      <c r="AA86" s="17"/>
      <c r="AB86" s="17"/>
    </row>
    <row r="87">
      <c r="A87" s="47">
        <f t="shared" si="1"/>
        <v>46274</v>
      </c>
      <c r="B87" s="4"/>
      <c r="C87" s="65"/>
      <c r="D87" s="63"/>
      <c r="E87" s="71"/>
      <c r="F87" s="59"/>
      <c r="G87" s="59"/>
      <c r="H87" s="15"/>
      <c r="I87" s="15"/>
      <c r="J87" s="15"/>
      <c r="K87" s="15"/>
      <c r="L87" s="15"/>
      <c r="M87" s="15"/>
      <c r="N87" s="17"/>
      <c r="O87" s="17"/>
      <c r="P87" s="17"/>
      <c r="Q87" s="17"/>
      <c r="R87" s="17"/>
      <c r="S87" s="17"/>
      <c r="T87" s="17"/>
      <c r="U87" s="17"/>
      <c r="V87" s="17"/>
      <c r="W87" s="17"/>
      <c r="X87" s="17"/>
      <c r="Y87" s="17"/>
      <c r="Z87" s="17"/>
      <c r="AA87" s="17"/>
      <c r="AB87" s="17"/>
    </row>
    <row r="88">
      <c r="A88" s="47">
        <f t="shared" si="1"/>
        <v>46274</v>
      </c>
      <c r="B88" s="4"/>
      <c r="C88" s="65"/>
      <c r="D88" s="66"/>
      <c r="E88" s="58"/>
      <c r="F88" s="59"/>
      <c r="G88" s="59"/>
      <c r="H88" s="15"/>
      <c r="I88" s="15"/>
      <c r="J88" s="15"/>
      <c r="K88" s="15"/>
      <c r="L88" s="15"/>
      <c r="M88" s="15"/>
      <c r="N88" s="17"/>
      <c r="O88" s="17"/>
      <c r="P88" s="17"/>
      <c r="Q88" s="17"/>
      <c r="R88" s="17"/>
      <c r="S88" s="17"/>
      <c r="T88" s="17"/>
      <c r="U88" s="17"/>
      <c r="V88" s="17"/>
      <c r="W88" s="17"/>
      <c r="X88" s="17"/>
      <c r="Y88" s="17"/>
      <c r="Z88" s="17"/>
      <c r="AA88" s="17"/>
      <c r="AB88" s="17"/>
    </row>
    <row r="89">
      <c r="A89" s="47">
        <f t="shared" si="1"/>
        <v>46274</v>
      </c>
      <c r="B89" s="4"/>
      <c r="C89" s="56">
        <f>C86+1</f>
        <v>29</v>
      </c>
      <c r="D89" s="57" t="s">
        <v>261</v>
      </c>
      <c r="E89" s="58"/>
      <c r="F89" s="59"/>
      <c r="G89" s="59"/>
      <c r="H89" s="15"/>
      <c r="I89" s="15"/>
      <c r="J89" s="15"/>
      <c r="K89" s="15"/>
      <c r="L89" s="15"/>
      <c r="M89" s="15"/>
      <c r="N89" s="17"/>
      <c r="O89" s="17"/>
      <c r="P89" s="17"/>
      <c r="Q89" s="17"/>
      <c r="R89" s="17"/>
      <c r="S89" s="17"/>
      <c r="T89" s="17"/>
      <c r="U89" s="17"/>
      <c r="V89" s="17"/>
      <c r="W89" s="17"/>
      <c r="X89" s="17"/>
      <c r="Y89" s="17"/>
      <c r="Z89" s="17"/>
      <c r="AA89" s="17"/>
      <c r="AB89" s="17"/>
    </row>
    <row r="90">
      <c r="A90" s="47">
        <f t="shared" si="1"/>
        <v>46274</v>
      </c>
      <c r="B90" s="4"/>
      <c r="C90" s="65"/>
      <c r="D90" s="63"/>
      <c r="E90" s="71"/>
      <c r="F90" s="59"/>
      <c r="G90" s="59"/>
      <c r="H90" s="15"/>
      <c r="I90" s="15"/>
      <c r="J90" s="15"/>
      <c r="K90" s="15"/>
      <c r="L90" s="15"/>
      <c r="M90" s="15"/>
      <c r="N90" s="17"/>
      <c r="O90" s="17"/>
      <c r="P90" s="17"/>
      <c r="Q90" s="17"/>
      <c r="R90" s="17"/>
      <c r="S90" s="17"/>
      <c r="T90" s="17"/>
      <c r="U90" s="17"/>
      <c r="V90" s="17"/>
      <c r="W90" s="17"/>
      <c r="X90" s="17"/>
      <c r="Y90" s="17"/>
      <c r="Z90" s="17"/>
      <c r="AA90" s="17"/>
      <c r="AB90" s="17"/>
    </row>
    <row r="91">
      <c r="A91" s="47">
        <f t="shared" si="1"/>
        <v>46274</v>
      </c>
      <c r="B91" s="4"/>
      <c r="C91" s="65"/>
      <c r="D91" s="66"/>
      <c r="E91" s="58"/>
      <c r="F91" s="59"/>
      <c r="G91" s="59"/>
      <c r="H91" s="15"/>
      <c r="I91" s="15"/>
      <c r="J91" s="15"/>
      <c r="K91" s="15"/>
      <c r="L91" s="15"/>
      <c r="M91" s="15"/>
      <c r="N91" s="17"/>
      <c r="O91" s="17"/>
      <c r="P91" s="17"/>
      <c r="Q91" s="17"/>
      <c r="R91" s="17"/>
      <c r="S91" s="17"/>
      <c r="T91" s="17"/>
      <c r="U91" s="17"/>
      <c r="V91" s="17"/>
      <c r="W91" s="17"/>
      <c r="X91" s="17"/>
      <c r="Y91" s="17"/>
      <c r="Z91" s="17"/>
      <c r="AA91" s="17"/>
      <c r="AB91" s="17"/>
    </row>
    <row r="92">
      <c r="A92" s="47">
        <f t="shared" si="1"/>
        <v>46274</v>
      </c>
      <c r="B92" s="135"/>
      <c r="C92" s="56">
        <f>C89+1</f>
        <v>30</v>
      </c>
      <c r="D92" s="57" t="s">
        <v>270</v>
      </c>
      <c r="E92" s="94"/>
      <c r="F92" s="59"/>
      <c r="G92" s="59"/>
      <c r="H92" s="15"/>
      <c r="I92" s="15"/>
      <c r="J92" s="15"/>
      <c r="K92" s="15"/>
      <c r="L92" s="15"/>
      <c r="M92" s="15"/>
      <c r="N92" s="17"/>
      <c r="O92" s="17"/>
      <c r="P92" s="17"/>
      <c r="Q92" s="17"/>
      <c r="R92" s="17"/>
      <c r="S92" s="17"/>
      <c r="T92" s="17"/>
      <c r="U92" s="17"/>
      <c r="V92" s="17"/>
      <c r="W92" s="17"/>
      <c r="X92" s="17"/>
      <c r="Y92" s="17"/>
      <c r="Z92" s="17"/>
      <c r="AA92" s="17"/>
      <c r="AB92" s="17"/>
    </row>
    <row r="93">
      <c r="A93" s="47">
        <f t="shared" si="1"/>
        <v>46274</v>
      </c>
      <c r="B93" s="138"/>
      <c r="C93" s="65"/>
      <c r="D93" s="66"/>
      <c r="E93" s="58"/>
      <c r="F93" s="59"/>
      <c r="G93" s="59"/>
      <c r="H93" s="15"/>
      <c r="I93" s="15"/>
      <c r="J93" s="15"/>
      <c r="K93" s="15"/>
      <c r="L93" s="15"/>
      <c r="M93" s="15"/>
      <c r="N93" s="17"/>
      <c r="O93" s="17"/>
      <c r="P93" s="17"/>
      <c r="Q93" s="17"/>
      <c r="R93" s="17"/>
      <c r="S93" s="17"/>
      <c r="T93" s="17"/>
      <c r="U93" s="17"/>
      <c r="V93" s="17"/>
      <c r="W93" s="17"/>
      <c r="X93" s="17"/>
      <c r="Y93" s="17"/>
      <c r="Z93" s="17"/>
      <c r="AA93" s="17"/>
      <c r="AB93" s="17"/>
    </row>
  </sheetData>
  <conditionalFormatting sqref="A4:D93 E4:E18 F17 E22:E52 F26 G44 E54:E93 F58 F60:G60 F62:G62">
    <cfRule type="expression" dxfId="0" priority="1">
      <formula>INDIRECT(CONCATENATE("A",ROW()))=0</formula>
    </cfRule>
  </conditionalFormatting>
  <conditionalFormatting sqref="A4:D93 E4:E18 F17 E22:E52 F26 G44 E54:E93 F58 F60:G60 F62:G62">
    <cfRule type="expression" dxfId="1" priority="2">
      <formula>INDIRECT(CONCATENATE("A",ROW()) )=1</formula>
    </cfRule>
  </conditionalFormatting>
  <conditionalFormatting sqref="A4:D93 E4:E18 F17 E22:E52 F26 G44 E54:E93 F58 F60:G60 F62:G62">
    <cfRule type="expression" dxfId="2" priority="3">
      <formula>INDIRECT(CONCATENATE("A",ROW()) )=2</formula>
    </cfRule>
  </conditionalFormatting>
  <conditionalFormatting sqref="A4:D93 E4:E18 F17 E22:E52 F26 G44 E54:E93 F58 F60:G60 F62:G62">
    <cfRule type="expression" dxfId="3" priority="4">
      <formula>INDIRECT(CONCATENATE("A",ROW()) )&gt;2</formula>
    </cfRule>
  </conditionalFormatting>
  <conditionalFormatting sqref="B2">
    <cfRule type="notContainsBlanks" dxfId="4" priority="5">
      <formula>LEN(TRIM(B2))&gt;0</formula>
    </cfRule>
  </conditionalFormatting>
  <conditionalFormatting sqref="B1 B5:B91">
    <cfRule type="notContainsBlanks" dxfId="4" priority="6">
      <formula>LEN(TRIM(B1))&gt;0</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s>
  <sheetData>
    <row r="1">
      <c r="A1" s="2"/>
      <c r="B1" s="2"/>
      <c r="C1" s="3"/>
    </row>
    <row r="2">
      <c r="A2" s="6" t="s">
        <v>1</v>
      </c>
      <c r="B2" s="8"/>
      <c r="C2" s="3"/>
    </row>
    <row r="3">
      <c r="A3" s="6" t="s">
        <v>4</v>
      </c>
      <c r="B3" s="8"/>
      <c r="C3" s="3"/>
    </row>
    <row r="4">
      <c r="A4" s="6" t="s">
        <v>5</v>
      </c>
      <c r="B4" s="19"/>
      <c r="C4" s="3"/>
    </row>
    <row r="5">
      <c r="A5" s="22" t="s">
        <v>12</v>
      </c>
      <c r="B5" s="22" t="s">
        <v>15</v>
      </c>
      <c r="C5" s="25"/>
    </row>
    <row r="6">
      <c r="A6" s="28"/>
      <c r="B6" s="31"/>
      <c r="C6" s="25"/>
    </row>
    <row r="7">
      <c r="A7" s="28"/>
      <c r="B7" s="31"/>
      <c r="C7" s="25"/>
    </row>
    <row r="8">
      <c r="A8" s="28"/>
      <c r="B8" s="31"/>
      <c r="C8" s="25"/>
    </row>
    <row r="9">
      <c r="A9" s="28"/>
      <c r="B9" s="31"/>
      <c r="C9" s="25"/>
    </row>
    <row r="10">
      <c r="A10" s="28" t="s">
        <v>19</v>
      </c>
      <c r="B10" s="34"/>
      <c r="C10" s="25"/>
    </row>
    <row r="11">
      <c r="A11" s="28" t="s">
        <v>20</v>
      </c>
      <c r="B11" s="34"/>
      <c r="C11" s="25"/>
    </row>
    <row r="12">
      <c r="A12" s="28" t="s">
        <v>20</v>
      </c>
      <c r="B12" s="34"/>
      <c r="C12" s="25"/>
    </row>
    <row r="13">
      <c r="A13" s="28" t="s">
        <v>20</v>
      </c>
      <c r="B13" s="34"/>
      <c r="C13" s="25"/>
    </row>
    <row r="14">
      <c r="A14" s="28" t="s">
        <v>20</v>
      </c>
      <c r="B14" s="34"/>
      <c r="C14" s="25"/>
    </row>
    <row r="15">
      <c r="A15" s="28" t="s">
        <v>20</v>
      </c>
      <c r="B15" s="34"/>
      <c r="C15" s="25"/>
    </row>
    <row r="16">
      <c r="A16" s="2"/>
      <c r="B16" s="2"/>
      <c r="C16" s="3"/>
    </row>
    <row r="17">
      <c r="A17" s="2"/>
      <c r="B17" s="2"/>
      <c r="C17" s="3"/>
    </row>
    <row r="18">
      <c r="A18" s="2"/>
      <c r="B18" s="2"/>
      <c r="C18" s="3"/>
    </row>
    <row r="19">
      <c r="A19" s="40" t="s">
        <v>23</v>
      </c>
      <c r="B19" s="41" t="s">
        <v>24</v>
      </c>
      <c r="C19" s="42">
        <v>13.0</v>
      </c>
    </row>
    <row r="20">
      <c r="A20" s="44">
        <v>1.0</v>
      </c>
      <c r="B20" s="46" t="s">
        <v>25</v>
      </c>
      <c r="C20" s="48" t="s">
        <v>26</v>
      </c>
    </row>
    <row r="21">
      <c r="A21" s="44">
        <v>2.0</v>
      </c>
      <c r="B21" s="46" t="s">
        <v>27</v>
      </c>
      <c r="C21" s="48" t="s">
        <v>26</v>
      </c>
    </row>
    <row r="22">
      <c r="A22" s="44">
        <v>3.0</v>
      </c>
      <c r="B22" s="46" t="s">
        <v>28</v>
      </c>
      <c r="C22" s="48" t="s">
        <v>26</v>
      </c>
    </row>
    <row r="23">
      <c r="A23" s="44">
        <v>4.0</v>
      </c>
      <c r="B23" s="46" t="s">
        <v>29</v>
      </c>
      <c r="C23" s="48" t="s">
        <v>26</v>
      </c>
    </row>
    <row r="24">
      <c r="A24" s="44">
        <v>5.0</v>
      </c>
      <c r="B24" s="55" t="s">
        <v>32</v>
      </c>
      <c r="C24" s="48" t="s">
        <v>33</v>
      </c>
    </row>
    <row r="25">
      <c r="A25" s="44">
        <v>6.0</v>
      </c>
      <c r="B25" s="55" t="s">
        <v>34</v>
      </c>
      <c r="C25" s="48" t="s">
        <v>33</v>
      </c>
    </row>
    <row r="26">
      <c r="A26" s="44">
        <v>7.0</v>
      </c>
      <c r="B26" s="55" t="s">
        <v>36</v>
      </c>
      <c r="C26" s="48" t="s">
        <v>33</v>
      </c>
    </row>
    <row r="27">
      <c r="A27" s="44">
        <v>8.0</v>
      </c>
      <c r="B27" s="55" t="s">
        <v>38</v>
      </c>
      <c r="C27" s="48" t="s">
        <v>33</v>
      </c>
    </row>
    <row r="28">
      <c r="A28" s="44">
        <v>9.0</v>
      </c>
      <c r="B28" s="55" t="s">
        <v>39</v>
      </c>
      <c r="C28" s="48" t="s">
        <v>26</v>
      </c>
    </row>
    <row r="29">
      <c r="A29" s="44">
        <v>10.0</v>
      </c>
      <c r="B29" s="31" t="s">
        <v>40</v>
      </c>
      <c r="C29" s="48" t="s">
        <v>33</v>
      </c>
    </row>
    <row r="30">
      <c r="A30" s="44">
        <v>11.0</v>
      </c>
      <c r="B30" s="60" t="s">
        <v>41</v>
      </c>
      <c r="C30" s="48" t="s">
        <v>33</v>
      </c>
    </row>
    <row r="31">
      <c r="A31" s="44">
        <v>12.0</v>
      </c>
      <c r="B31" s="60" t="s">
        <v>43</v>
      </c>
      <c r="C31" s="48" t="s">
        <v>26</v>
      </c>
    </row>
    <row r="32">
      <c r="A32" s="44">
        <v>13.0</v>
      </c>
      <c r="B32" s="60" t="s">
        <v>45</v>
      </c>
      <c r="C32" s="48" t="s">
        <v>33</v>
      </c>
    </row>
    <row r="33">
      <c r="A33" s="44">
        <v>14.0</v>
      </c>
      <c r="B33" s="60" t="s">
        <v>47</v>
      </c>
      <c r="C33" s="48" t="s">
        <v>20</v>
      </c>
    </row>
    <row r="34">
      <c r="A34" s="44">
        <v>15.0</v>
      </c>
      <c r="B34" s="60" t="s">
        <v>49</v>
      </c>
      <c r="C34" s="48" t="s">
        <v>33</v>
      </c>
    </row>
    <row r="35">
      <c r="A35" s="44">
        <v>16.0</v>
      </c>
      <c r="B35" s="60" t="s">
        <v>50</v>
      </c>
      <c r="C35" s="48" t="s">
        <v>33</v>
      </c>
    </row>
    <row r="36">
      <c r="A36" s="44">
        <v>17.0</v>
      </c>
      <c r="B36" s="60" t="s">
        <v>53</v>
      </c>
      <c r="C36" s="48" t="s">
        <v>33</v>
      </c>
    </row>
    <row r="37">
      <c r="A37" s="44">
        <v>18.0</v>
      </c>
      <c r="B37" s="60" t="s">
        <v>55</v>
      </c>
      <c r="C37" s="48" t="s">
        <v>20</v>
      </c>
    </row>
    <row r="38">
      <c r="A38" s="44">
        <v>19.0</v>
      </c>
      <c r="B38" s="46" t="s">
        <v>57</v>
      </c>
      <c r="C38" s="48" t="s">
        <v>26</v>
      </c>
    </row>
    <row r="39">
      <c r="A39" s="44">
        <v>20.0</v>
      </c>
      <c r="B39" s="46" t="s">
        <v>59</v>
      </c>
      <c r="C39" s="48" t="s">
        <v>33</v>
      </c>
    </row>
    <row r="40">
      <c r="A40" s="44">
        <v>21.0</v>
      </c>
      <c r="B40" s="46" t="s">
        <v>60</v>
      </c>
      <c r="C40" s="48" t="s">
        <v>33</v>
      </c>
    </row>
    <row r="41">
      <c r="A41" s="44">
        <v>22.0</v>
      </c>
      <c r="B41" s="46" t="s">
        <v>62</v>
      </c>
      <c r="C41" s="48" t="s">
        <v>33</v>
      </c>
    </row>
    <row r="42">
      <c r="A42" s="2"/>
      <c r="B42" s="2"/>
      <c r="C42" s="3"/>
    </row>
    <row r="43">
      <c r="A43" s="2"/>
      <c r="B43" s="2"/>
      <c r="C43" s="3"/>
    </row>
    <row r="44">
      <c r="A44" s="2"/>
      <c r="B44" s="2"/>
      <c r="C44" s="3"/>
    </row>
    <row r="45">
      <c r="A45" s="2"/>
      <c r="B45" s="2"/>
      <c r="C45" s="3"/>
    </row>
    <row r="46">
      <c r="A46" s="2"/>
      <c r="B46" s="2"/>
      <c r="C46" s="3"/>
    </row>
    <row r="47">
      <c r="A47" s="2"/>
      <c r="B47" s="2"/>
      <c r="C47" s="3"/>
    </row>
    <row r="48">
      <c r="A48" s="2"/>
      <c r="B48" s="72"/>
      <c r="C48" s="3"/>
    </row>
    <row r="49">
      <c r="A49" s="2"/>
      <c r="B49" s="2"/>
      <c r="C49" s="3"/>
    </row>
    <row r="50">
      <c r="A50" s="2"/>
      <c r="B50" s="74" t="s">
        <v>66</v>
      </c>
      <c r="C50" s="3"/>
    </row>
    <row r="51">
      <c r="A51" s="40" t="s">
        <v>23</v>
      </c>
      <c r="B51" s="41" t="s">
        <v>24</v>
      </c>
      <c r="C51" s="42">
        <v>55.0</v>
      </c>
    </row>
    <row r="52">
      <c r="A52" s="75">
        <v>1.0</v>
      </c>
      <c r="B52" s="76" t="s">
        <v>72</v>
      </c>
      <c r="C52" s="48" t="s">
        <v>33</v>
      </c>
    </row>
    <row r="53">
      <c r="A53" s="77"/>
      <c r="B53" s="79" t="s">
        <v>79</v>
      </c>
      <c r="C53" s="48" t="s">
        <v>20</v>
      </c>
    </row>
    <row r="54">
      <c r="A54" s="75">
        <v>2.0</v>
      </c>
      <c r="B54" s="82" t="s">
        <v>85</v>
      </c>
      <c r="C54" s="48" t="s">
        <v>33</v>
      </c>
    </row>
    <row r="55">
      <c r="A55" s="75">
        <v>3.0</v>
      </c>
      <c r="B55" s="82" t="s">
        <v>88</v>
      </c>
      <c r="C55" s="48" t="s">
        <v>33</v>
      </c>
    </row>
    <row r="56">
      <c r="A56" s="75">
        <v>4.0</v>
      </c>
      <c r="B56" s="82" t="s">
        <v>91</v>
      </c>
      <c r="C56" s="48" t="s">
        <v>33</v>
      </c>
    </row>
    <row r="57">
      <c r="A57" s="75">
        <v>5.0</v>
      </c>
      <c r="B57" s="84" t="s">
        <v>94</v>
      </c>
      <c r="C57" s="48" t="s">
        <v>33</v>
      </c>
    </row>
    <row r="58">
      <c r="A58" s="75">
        <v>6.0</v>
      </c>
      <c r="B58" s="84" t="s">
        <v>98</v>
      </c>
      <c r="C58" s="48" t="s">
        <v>33</v>
      </c>
    </row>
    <row r="59">
      <c r="A59" s="75">
        <v>7.0</v>
      </c>
      <c r="B59" s="84" t="s">
        <v>100</v>
      </c>
      <c r="C59" s="48" t="s">
        <v>20</v>
      </c>
    </row>
    <row r="60">
      <c r="A60" s="75">
        <v>8.0</v>
      </c>
      <c r="B60" s="84" t="s">
        <v>101</v>
      </c>
      <c r="C60" s="48" t="s">
        <v>20</v>
      </c>
    </row>
    <row r="61">
      <c r="A61" s="75">
        <v>9.0</v>
      </c>
      <c r="B61" s="84" t="s">
        <v>102</v>
      </c>
      <c r="C61" s="48" t="s">
        <v>33</v>
      </c>
    </row>
    <row r="62">
      <c r="A62" s="75">
        <v>10.0</v>
      </c>
      <c r="B62" s="84" t="s">
        <v>104</v>
      </c>
      <c r="C62" s="48" t="s">
        <v>33</v>
      </c>
    </row>
    <row r="63">
      <c r="A63" s="75">
        <v>11.0</v>
      </c>
      <c r="B63" s="84" t="s">
        <v>106</v>
      </c>
      <c r="C63" s="48" t="s">
        <v>20</v>
      </c>
    </row>
    <row r="64">
      <c r="A64" s="75">
        <v>12.0</v>
      </c>
      <c r="B64" s="87" t="s">
        <v>108</v>
      </c>
      <c r="C64" s="48" t="s">
        <v>33</v>
      </c>
    </row>
    <row r="65">
      <c r="A65" s="75">
        <v>13.0</v>
      </c>
      <c r="B65" s="87" t="s">
        <v>111</v>
      </c>
      <c r="C65" s="48" t="s">
        <v>33</v>
      </c>
    </row>
    <row r="66">
      <c r="A66" s="75">
        <v>14.0</v>
      </c>
      <c r="B66" s="87" t="s">
        <v>113</v>
      </c>
      <c r="C66" s="48" t="s">
        <v>33</v>
      </c>
    </row>
    <row r="67">
      <c r="A67" s="75">
        <v>15.0</v>
      </c>
      <c r="B67" s="87" t="s">
        <v>114</v>
      </c>
      <c r="C67" s="48" t="s">
        <v>33</v>
      </c>
    </row>
    <row r="68">
      <c r="A68" s="75">
        <v>16.0</v>
      </c>
      <c r="B68" s="87" t="s">
        <v>117</v>
      </c>
      <c r="C68" s="48" t="s">
        <v>33</v>
      </c>
    </row>
    <row r="69">
      <c r="A69" s="75">
        <v>17.0</v>
      </c>
      <c r="B69" s="87" t="s">
        <v>119</v>
      </c>
      <c r="C69" s="48" t="s">
        <v>20</v>
      </c>
    </row>
    <row r="70">
      <c r="A70" s="75">
        <v>18.0</v>
      </c>
      <c r="B70" s="87" t="s">
        <v>121</v>
      </c>
      <c r="C70" s="48" t="s">
        <v>20</v>
      </c>
    </row>
    <row r="71">
      <c r="A71" s="75">
        <v>19.0</v>
      </c>
      <c r="B71" s="82" t="s">
        <v>122</v>
      </c>
      <c r="C71" s="48" t="s">
        <v>20</v>
      </c>
    </row>
    <row r="72">
      <c r="A72" s="75">
        <v>20.0</v>
      </c>
      <c r="B72" s="82" t="s">
        <v>124</v>
      </c>
      <c r="C72" s="48" t="s">
        <v>20</v>
      </c>
    </row>
    <row r="73">
      <c r="A73" s="75">
        <v>21.0</v>
      </c>
      <c r="B73" s="82" t="s">
        <v>125</v>
      </c>
      <c r="C73" s="48" t="s">
        <v>20</v>
      </c>
    </row>
    <row r="74">
      <c r="A74" s="75">
        <v>22.0</v>
      </c>
      <c r="B74" s="82" t="s">
        <v>128</v>
      </c>
      <c r="C74" s="48" t="s">
        <v>20</v>
      </c>
    </row>
    <row r="75">
      <c r="A75" s="75">
        <v>23.0</v>
      </c>
      <c r="B75" s="76" t="s">
        <v>129</v>
      </c>
      <c r="C75" s="48" t="s">
        <v>33</v>
      </c>
    </row>
    <row r="76">
      <c r="A76" s="75">
        <v>24.0</v>
      </c>
      <c r="B76" s="76" t="s">
        <v>132</v>
      </c>
      <c r="C76" s="48" t="s">
        <v>33</v>
      </c>
    </row>
    <row r="77">
      <c r="A77" s="75">
        <v>25.0</v>
      </c>
      <c r="B77" s="76" t="s">
        <v>134</v>
      </c>
      <c r="C77" s="48" t="s">
        <v>33</v>
      </c>
    </row>
    <row r="78">
      <c r="A78" s="75">
        <v>26.0</v>
      </c>
      <c r="B78" s="76" t="s">
        <v>135</v>
      </c>
      <c r="C78" s="48" t="s">
        <v>33</v>
      </c>
    </row>
    <row r="79">
      <c r="A79" s="75">
        <v>27.0</v>
      </c>
      <c r="B79" s="76" t="s">
        <v>138</v>
      </c>
      <c r="C79" s="48" t="s">
        <v>33</v>
      </c>
    </row>
    <row r="80">
      <c r="A80" s="75">
        <v>28.0</v>
      </c>
      <c r="B80" s="76" t="s">
        <v>139</v>
      </c>
      <c r="C80" s="48" t="s">
        <v>33</v>
      </c>
    </row>
    <row r="81">
      <c r="A81" s="75">
        <v>29.0</v>
      </c>
      <c r="B81" s="76" t="s">
        <v>141</v>
      </c>
      <c r="C81" s="48" t="s">
        <v>33</v>
      </c>
    </row>
    <row r="82">
      <c r="A82" s="75">
        <v>30.0</v>
      </c>
      <c r="B82" s="93" t="s">
        <v>143</v>
      </c>
      <c r="C82" s="48" t="s">
        <v>33</v>
      </c>
    </row>
    <row r="83">
      <c r="A83" s="75">
        <v>31.0</v>
      </c>
      <c r="B83" s="93" t="s">
        <v>145</v>
      </c>
      <c r="C83" s="48" t="s">
        <v>33</v>
      </c>
    </row>
    <row r="84">
      <c r="A84" s="75">
        <v>32.0</v>
      </c>
      <c r="B84" s="93" t="s">
        <v>147</v>
      </c>
      <c r="C84" s="48" t="s">
        <v>33</v>
      </c>
    </row>
    <row r="85">
      <c r="A85" s="75">
        <v>33.0</v>
      </c>
      <c r="B85" s="93" t="s">
        <v>148</v>
      </c>
      <c r="C85" s="48" t="s">
        <v>20</v>
      </c>
    </row>
    <row r="86">
      <c r="A86" s="75">
        <v>34.0</v>
      </c>
      <c r="B86" s="93" t="s">
        <v>152</v>
      </c>
      <c r="C86" s="48" t="s">
        <v>33</v>
      </c>
    </row>
    <row r="87">
      <c r="A87" s="75">
        <v>35.0</v>
      </c>
      <c r="B87" s="76" t="s">
        <v>153</v>
      </c>
      <c r="C87" s="48" t="s">
        <v>33</v>
      </c>
    </row>
    <row r="88">
      <c r="A88" s="75">
        <v>36.0</v>
      </c>
      <c r="B88" s="76" t="s">
        <v>154</v>
      </c>
      <c r="C88" s="48" t="s">
        <v>33</v>
      </c>
    </row>
    <row r="89">
      <c r="A89" s="75">
        <v>37.0</v>
      </c>
      <c r="B89" s="76" t="s">
        <v>155</v>
      </c>
      <c r="C89" s="48" t="s">
        <v>33</v>
      </c>
    </row>
    <row r="90">
      <c r="A90" s="75">
        <v>38.0</v>
      </c>
      <c r="B90" s="76" t="s">
        <v>157</v>
      </c>
      <c r="C90" s="48" t="s">
        <v>33</v>
      </c>
    </row>
    <row r="91">
      <c r="A91" s="75">
        <v>39.0</v>
      </c>
      <c r="B91" s="76" t="s">
        <v>159</v>
      </c>
      <c r="C91" s="48" t="s">
        <v>33</v>
      </c>
    </row>
    <row r="92">
      <c r="A92" s="75">
        <v>40.0</v>
      </c>
      <c r="B92" s="95" t="s">
        <v>161</v>
      </c>
      <c r="C92" s="48" t="s">
        <v>33</v>
      </c>
    </row>
    <row r="93">
      <c r="A93" s="75">
        <v>41.0</v>
      </c>
      <c r="B93" s="95" t="s">
        <v>166</v>
      </c>
      <c r="C93" s="48" t="s">
        <v>33</v>
      </c>
    </row>
    <row r="94">
      <c r="A94" s="75">
        <v>42.0</v>
      </c>
      <c r="B94" s="95" t="s">
        <v>168</v>
      </c>
      <c r="C94" s="48" t="s">
        <v>20</v>
      </c>
    </row>
    <row r="95">
      <c r="A95" s="75">
        <v>43.0</v>
      </c>
      <c r="B95" s="96" t="s">
        <v>170</v>
      </c>
      <c r="C95" s="48" t="s">
        <v>20</v>
      </c>
    </row>
    <row r="96">
      <c r="A96" s="75">
        <v>44.0</v>
      </c>
      <c r="B96" s="96" t="s">
        <v>175</v>
      </c>
      <c r="C96" s="48" t="s">
        <v>20</v>
      </c>
    </row>
    <row r="97">
      <c r="A97" s="75">
        <v>45.0</v>
      </c>
      <c r="B97" s="96" t="s">
        <v>177</v>
      </c>
      <c r="C97" s="48" t="s">
        <v>20</v>
      </c>
    </row>
    <row r="98">
      <c r="A98" s="75">
        <v>46.0</v>
      </c>
      <c r="B98" s="96" t="s">
        <v>178</v>
      </c>
      <c r="C98" s="48" t="s">
        <v>20</v>
      </c>
    </row>
    <row r="99">
      <c r="A99" s="75">
        <v>47.0</v>
      </c>
      <c r="B99" s="96" t="s">
        <v>179</v>
      </c>
      <c r="C99" s="48" t="s">
        <v>20</v>
      </c>
    </row>
    <row r="100">
      <c r="A100" s="77"/>
      <c r="B100" s="79" t="s">
        <v>180</v>
      </c>
      <c r="C100" s="48" t="s">
        <v>20</v>
      </c>
    </row>
    <row r="101">
      <c r="A101" s="75">
        <v>48.0</v>
      </c>
      <c r="B101" s="82" t="s">
        <v>181</v>
      </c>
      <c r="C101" s="48" t="s">
        <v>33</v>
      </c>
    </row>
    <row r="102">
      <c r="A102" s="75">
        <v>49.0</v>
      </c>
      <c r="B102" s="82" t="s">
        <v>183</v>
      </c>
      <c r="C102" s="48" t="s">
        <v>33</v>
      </c>
    </row>
    <row r="103">
      <c r="A103" s="75">
        <v>50.0</v>
      </c>
      <c r="B103" s="82" t="s">
        <v>184</v>
      </c>
      <c r="C103" s="48" t="s">
        <v>33</v>
      </c>
    </row>
    <row r="104">
      <c r="A104" s="75">
        <v>51.0</v>
      </c>
      <c r="B104" s="82" t="s">
        <v>186</v>
      </c>
      <c r="C104" s="48" t="s">
        <v>20</v>
      </c>
    </row>
    <row r="105">
      <c r="A105" s="75">
        <v>52.0</v>
      </c>
      <c r="B105" s="98" t="s">
        <v>187</v>
      </c>
      <c r="C105" s="48" t="s">
        <v>33</v>
      </c>
    </row>
    <row r="106">
      <c r="A106" s="75">
        <v>53.0</v>
      </c>
      <c r="B106" s="98" t="s">
        <v>188</v>
      </c>
      <c r="C106" s="48" t="s">
        <v>33</v>
      </c>
    </row>
    <row r="107">
      <c r="A107" s="75">
        <v>54.0</v>
      </c>
      <c r="B107" s="98" t="s">
        <v>189</v>
      </c>
      <c r="C107" s="48" t="s">
        <v>33</v>
      </c>
    </row>
    <row r="108">
      <c r="A108" s="75">
        <v>55.0</v>
      </c>
      <c r="B108" s="98" t="s">
        <v>190</v>
      </c>
      <c r="C108" s="48" t="s">
        <v>20</v>
      </c>
    </row>
    <row r="109">
      <c r="A109" s="75">
        <v>56.0</v>
      </c>
      <c r="B109" s="96" t="s">
        <v>192</v>
      </c>
      <c r="C109" s="48" t="s">
        <v>20</v>
      </c>
    </row>
    <row r="110">
      <c r="A110" s="75">
        <v>57.0</v>
      </c>
      <c r="B110" s="96" t="s">
        <v>194</v>
      </c>
      <c r="C110" s="48" t="s">
        <v>20</v>
      </c>
    </row>
    <row r="111">
      <c r="A111" s="75">
        <v>58.0</v>
      </c>
      <c r="B111" s="96" t="s">
        <v>195</v>
      </c>
      <c r="C111" s="48" t="s">
        <v>20</v>
      </c>
    </row>
    <row r="112">
      <c r="A112" s="77"/>
      <c r="B112" s="79" t="s">
        <v>196</v>
      </c>
      <c r="C112" s="48" t="s">
        <v>20</v>
      </c>
    </row>
    <row r="113">
      <c r="A113" s="75">
        <v>59.0</v>
      </c>
      <c r="B113" s="84" t="s">
        <v>198</v>
      </c>
      <c r="C113" s="48" t="s">
        <v>33</v>
      </c>
    </row>
    <row r="114">
      <c r="A114" s="75">
        <v>60.0</v>
      </c>
      <c r="B114" s="84" t="s">
        <v>199</v>
      </c>
      <c r="C114" s="48" t="s">
        <v>33</v>
      </c>
    </row>
    <row r="115">
      <c r="A115" s="75">
        <v>61.0</v>
      </c>
      <c r="B115" s="84" t="s">
        <v>201</v>
      </c>
      <c r="C115" s="48" t="s">
        <v>33</v>
      </c>
    </row>
    <row r="116">
      <c r="A116" s="75">
        <v>62.0</v>
      </c>
      <c r="B116" s="84" t="s">
        <v>202</v>
      </c>
      <c r="C116" s="48" t="s">
        <v>20</v>
      </c>
    </row>
    <row r="117">
      <c r="A117" s="75">
        <v>63.0</v>
      </c>
      <c r="B117" s="82" t="s">
        <v>203</v>
      </c>
      <c r="C117" s="48" t="s">
        <v>20</v>
      </c>
    </row>
    <row r="118">
      <c r="A118" s="75">
        <v>64.0</v>
      </c>
      <c r="B118" s="82" t="s">
        <v>204</v>
      </c>
      <c r="C118" s="48" t="s">
        <v>33</v>
      </c>
    </row>
    <row r="119">
      <c r="A119" s="75">
        <v>65.0</v>
      </c>
      <c r="B119" s="100" t="s">
        <v>205</v>
      </c>
      <c r="C119" s="48" t="s">
        <v>33</v>
      </c>
    </row>
    <row r="120">
      <c r="A120" s="75">
        <v>66.0</v>
      </c>
      <c r="B120" s="100" t="s">
        <v>207</v>
      </c>
      <c r="C120" s="48" t="s">
        <v>33</v>
      </c>
    </row>
    <row r="121">
      <c r="A121" s="75">
        <v>67.0</v>
      </c>
      <c r="B121" s="100" t="s">
        <v>208</v>
      </c>
      <c r="C121" s="48" t="s">
        <v>33</v>
      </c>
    </row>
    <row r="122">
      <c r="A122" s="75">
        <v>68.0</v>
      </c>
      <c r="B122" s="100" t="s">
        <v>210</v>
      </c>
      <c r="C122" s="48" t="s">
        <v>33</v>
      </c>
    </row>
    <row r="123">
      <c r="A123" s="75">
        <v>69.0</v>
      </c>
      <c r="B123" s="100" t="s">
        <v>211</v>
      </c>
      <c r="C123" s="48" t="s">
        <v>33</v>
      </c>
    </row>
    <row r="124">
      <c r="A124" s="75">
        <v>70.0</v>
      </c>
      <c r="B124" s="76" t="s">
        <v>212</v>
      </c>
      <c r="C124" s="48" t="s">
        <v>33</v>
      </c>
    </row>
    <row r="125">
      <c r="A125" s="75">
        <v>71.0</v>
      </c>
      <c r="B125" s="76" t="s">
        <v>213</v>
      </c>
      <c r="C125" s="48" t="s">
        <v>33</v>
      </c>
    </row>
    <row r="126">
      <c r="A126" s="75">
        <v>72.0</v>
      </c>
      <c r="B126" s="76" t="s">
        <v>214</v>
      </c>
      <c r="C126" s="48" t="s">
        <v>33</v>
      </c>
    </row>
    <row r="127">
      <c r="A127" s="75">
        <v>73.0</v>
      </c>
      <c r="B127" s="76" t="s">
        <v>215</v>
      </c>
      <c r="C127" s="48" t="s">
        <v>33</v>
      </c>
    </row>
    <row r="128">
      <c r="A128" s="75">
        <v>74.0</v>
      </c>
      <c r="B128" s="76" t="s">
        <v>216</v>
      </c>
      <c r="C128" s="48" t="s">
        <v>33</v>
      </c>
    </row>
    <row r="129">
      <c r="A129" s="75">
        <v>75.0</v>
      </c>
      <c r="B129" s="101" t="s">
        <v>218</v>
      </c>
      <c r="C129" s="48" t="s">
        <v>20</v>
      </c>
    </row>
    <row r="130">
      <c r="A130" s="75">
        <v>76.0</v>
      </c>
      <c r="B130" s="101" t="s">
        <v>221</v>
      </c>
      <c r="C130" s="48" t="s">
        <v>33</v>
      </c>
    </row>
    <row r="131">
      <c r="A131" s="75">
        <v>77.0</v>
      </c>
      <c r="B131" s="101" t="s">
        <v>222</v>
      </c>
      <c r="C131" s="48" t="s">
        <v>20</v>
      </c>
    </row>
    <row r="132">
      <c r="A132" s="75">
        <v>78.0</v>
      </c>
      <c r="B132" s="84" t="s">
        <v>224</v>
      </c>
      <c r="C132" s="48" t="s">
        <v>20</v>
      </c>
    </row>
    <row r="133">
      <c r="A133" s="75">
        <v>79.0</v>
      </c>
      <c r="B133" s="84" t="s">
        <v>225</v>
      </c>
      <c r="C133" s="48" t="s">
        <v>20</v>
      </c>
    </row>
    <row r="134">
      <c r="A134" s="75">
        <v>80.0</v>
      </c>
      <c r="B134" s="84" t="s">
        <v>226</v>
      </c>
      <c r="C134" s="48" t="s">
        <v>20</v>
      </c>
    </row>
    <row r="135">
      <c r="A135" s="77"/>
      <c r="B135" s="79" t="s">
        <v>227</v>
      </c>
      <c r="C135" s="48" t="s">
        <v>20</v>
      </c>
    </row>
    <row r="136">
      <c r="A136" s="75">
        <v>78.0</v>
      </c>
      <c r="B136" s="76" t="s">
        <v>228</v>
      </c>
      <c r="C136" s="48" t="s">
        <v>20</v>
      </c>
    </row>
    <row r="137">
      <c r="A137" s="75">
        <v>79.0</v>
      </c>
      <c r="B137" s="76" t="s">
        <v>229</v>
      </c>
      <c r="C137" s="48" t="s">
        <v>33</v>
      </c>
    </row>
    <row r="138">
      <c r="A138" s="77"/>
      <c r="B138" s="79" t="s">
        <v>230</v>
      </c>
      <c r="C138" s="3"/>
    </row>
    <row r="139">
      <c r="A139" s="75">
        <v>80.0</v>
      </c>
      <c r="B139" s="76" t="s">
        <v>232</v>
      </c>
      <c r="C139" s="48" t="s">
        <v>26</v>
      </c>
    </row>
    <row r="140">
      <c r="A140" s="75">
        <v>81.0</v>
      </c>
      <c r="B140" s="76" t="s">
        <v>233</v>
      </c>
      <c r="C140" s="48" t="s">
        <v>33</v>
      </c>
    </row>
    <row r="141">
      <c r="A141" s="75">
        <v>82.0</v>
      </c>
      <c r="B141" s="76" t="s">
        <v>235</v>
      </c>
      <c r="C141" s="48" t="s">
        <v>33</v>
      </c>
    </row>
    <row r="142">
      <c r="A142" s="75">
        <v>83.0</v>
      </c>
      <c r="B142" s="76" t="s">
        <v>236</v>
      </c>
      <c r="C142" s="48" t="s">
        <v>26</v>
      </c>
    </row>
    <row r="143">
      <c r="A143" s="105"/>
      <c r="B143" s="107"/>
      <c r="C143" s="48" t="s">
        <v>20</v>
      </c>
    </row>
    <row r="144">
      <c r="A144" s="105"/>
      <c r="B144" s="107"/>
      <c r="C144" s="48" t="s">
        <v>20</v>
      </c>
    </row>
    <row r="145">
      <c r="A145" s="3"/>
      <c r="B145" s="108" t="s">
        <v>240</v>
      </c>
      <c r="C145"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72" width="2.0"/>
    <col customWidth="1" min="73" max="73" width="4.63"/>
    <col customWidth="1" min="74" max="75" width="2.5"/>
    <col customWidth="1" min="76" max="76" width="20.5"/>
    <col customWidth="1" min="77" max="82" width="2.5"/>
  </cols>
  <sheetData>
    <row r="1" ht="9.0" customHeight="1">
      <c r="A1" s="10"/>
      <c r="B1" s="14">
        <v>0.0</v>
      </c>
      <c r="C1" s="14">
        <v>0.0</v>
      </c>
      <c r="D1" s="14">
        <v>0.0</v>
      </c>
      <c r="E1" s="14">
        <v>0.0</v>
      </c>
      <c r="F1" s="14">
        <v>0.0</v>
      </c>
      <c r="G1" s="14">
        <v>0.0</v>
      </c>
      <c r="H1" s="14">
        <v>0.0</v>
      </c>
      <c r="I1" s="14">
        <v>0.0</v>
      </c>
      <c r="J1" s="14">
        <v>0.0</v>
      </c>
      <c r="K1" s="14">
        <v>0.0</v>
      </c>
      <c r="L1" s="14">
        <v>1.0</v>
      </c>
      <c r="M1" s="14">
        <v>1.0</v>
      </c>
      <c r="N1" s="20" t="s">
        <v>10</v>
      </c>
      <c r="O1" s="14">
        <v>1.0</v>
      </c>
      <c r="P1" s="14">
        <v>1.0</v>
      </c>
      <c r="Q1" s="14">
        <v>1.0</v>
      </c>
      <c r="R1" s="14">
        <v>1.0</v>
      </c>
      <c r="S1" s="14">
        <v>1.0</v>
      </c>
      <c r="T1" s="14">
        <v>1.0</v>
      </c>
      <c r="U1" s="14">
        <v>1.0</v>
      </c>
      <c r="V1" s="14">
        <v>2.0</v>
      </c>
      <c r="W1" s="14">
        <v>2.0</v>
      </c>
      <c r="X1" s="14">
        <v>2.0</v>
      </c>
      <c r="Y1" s="14">
        <v>2.0</v>
      </c>
      <c r="Z1" s="14">
        <v>2.0</v>
      </c>
      <c r="AA1" s="14">
        <v>2.0</v>
      </c>
      <c r="AB1" s="14">
        <v>2.0</v>
      </c>
      <c r="AC1" s="14">
        <v>2.0</v>
      </c>
      <c r="AD1" s="14">
        <v>2.0</v>
      </c>
      <c r="AE1" s="14">
        <v>2.0</v>
      </c>
      <c r="AF1" s="14">
        <v>3.0</v>
      </c>
      <c r="AG1" s="14">
        <v>3.0</v>
      </c>
      <c r="AH1" s="14">
        <v>3.0</v>
      </c>
      <c r="AI1" s="14">
        <v>3.0</v>
      </c>
      <c r="AJ1" s="14">
        <v>3.0</v>
      </c>
      <c r="AK1" s="14">
        <v>3.0</v>
      </c>
      <c r="AL1" s="14">
        <v>3.0</v>
      </c>
      <c r="AM1" s="14">
        <v>3.0</v>
      </c>
      <c r="AN1" s="14">
        <v>3.0</v>
      </c>
      <c r="AO1" s="14">
        <v>3.0</v>
      </c>
      <c r="AP1" s="14">
        <v>4.0</v>
      </c>
      <c r="AQ1" s="14">
        <v>4.0</v>
      </c>
      <c r="AR1" s="14">
        <v>4.0</v>
      </c>
      <c r="AS1" s="14">
        <v>4.0</v>
      </c>
      <c r="AT1" s="14">
        <v>4.0</v>
      </c>
      <c r="AU1" s="14">
        <v>4.0</v>
      </c>
      <c r="AV1" s="14">
        <v>4.0</v>
      </c>
      <c r="AW1" s="14">
        <v>4.0</v>
      </c>
      <c r="AX1" s="14">
        <v>4.0</v>
      </c>
      <c r="AY1" s="14">
        <v>4.0</v>
      </c>
      <c r="AZ1" s="14">
        <v>5.0</v>
      </c>
      <c r="BA1" s="14">
        <v>5.0</v>
      </c>
      <c r="BB1" s="14">
        <v>5.0</v>
      </c>
      <c r="BC1" s="14">
        <v>5.0</v>
      </c>
      <c r="BD1" s="14">
        <v>5.0</v>
      </c>
      <c r="BE1" s="14">
        <v>5.0</v>
      </c>
      <c r="BF1" s="14">
        <v>5.0</v>
      </c>
      <c r="BG1" s="14">
        <v>5.0</v>
      </c>
      <c r="BH1" s="14">
        <v>5.0</v>
      </c>
      <c r="BI1" s="14">
        <v>5.0</v>
      </c>
      <c r="BJ1" s="14">
        <v>6.0</v>
      </c>
      <c r="BK1" s="14">
        <v>6.0</v>
      </c>
      <c r="BL1" s="14">
        <v>6.0</v>
      </c>
      <c r="BM1" s="14">
        <v>6.0</v>
      </c>
      <c r="BN1" s="14">
        <v>6.0</v>
      </c>
      <c r="BO1" s="14">
        <v>6.0</v>
      </c>
      <c r="BP1" s="14">
        <v>6.0</v>
      </c>
      <c r="BQ1" s="14">
        <v>6.0</v>
      </c>
      <c r="BR1" s="14">
        <v>6.0</v>
      </c>
      <c r="BS1" s="14">
        <v>6.0</v>
      </c>
      <c r="BT1" s="14">
        <v>7.0</v>
      </c>
      <c r="BU1" s="10"/>
      <c r="BV1" s="20"/>
      <c r="BW1" s="20"/>
      <c r="BX1" s="20"/>
      <c r="BY1" s="20"/>
      <c r="BZ1" s="20"/>
      <c r="CA1" s="20"/>
      <c r="CB1" s="20"/>
      <c r="CC1" s="20"/>
      <c r="CD1" s="20"/>
    </row>
    <row r="2" ht="9.0" customHeight="1">
      <c r="A2" s="10"/>
      <c r="B2" s="14">
        <v>0.0</v>
      </c>
      <c r="C2" s="45">
        <f t="shared" ref="C2:K2" si="1">B2+1</f>
        <v>1</v>
      </c>
      <c r="D2" s="45">
        <f t="shared" si="1"/>
        <v>2</v>
      </c>
      <c r="E2" s="45">
        <f t="shared" si="1"/>
        <v>3</v>
      </c>
      <c r="F2" s="45">
        <f t="shared" si="1"/>
        <v>4</v>
      </c>
      <c r="G2" s="45">
        <f t="shared" si="1"/>
        <v>5</v>
      </c>
      <c r="H2" s="45">
        <f t="shared" si="1"/>
        <v>6</v>
      </c>
      <c r="I2" s="45">
        <f t="shared" si="1"/>
        <v>7</v>
      </c>
      <c r="J2" s="45">
        <f t="shared" si="1"/>
        <v>8</v>
      </c>
      <c r="K2" s="45">
        <f t="shared" si="1"/>
        <v>9</v>
      </c>
      <c r="L2" s="14">
        <v>0.0</v>
      </c>
      <c r="M2" s="45">
        <f t="shared" ref="M2:U2" si="2">L2+1</f>
        <v>1</v>
      </c>
      <c r="N2" s="45">
        <f t="shared" si="2"/>
        <v>2</v>
      </c>
      <c r="O2" s="45">
        <f t="shared" si="2"/>
        <v>3</v>
      </c>
      <c r="P2" s="45">
        <f t="shared" si="2"/>
        <v>4</v>
      </c>
      <c r="Q2" s="45">
        <f t="shared" si="2"/>
        <v>5</v>
      </c>
      <c r="R2" s="45">
        <f t="shared" si="2"/>
        <v>6</v>
      </c>
      <c r="S2" s="45">
        <f t="shared" si="2"/>
        <v>7</v>
      </c>
      <c r="T2" s="45">
        <f t="shared" si="2"/>
        <v>8</v>
      </c>
      <c r="U2" s="45">
        <f t="shared" si="2"/>
        <v>9</v>
      </c>
      <c r="V2" s="14">
        <v>0.0</v>
      </c>
      <c r="W2" s="45">
        <f t="shared" ref="W2:AE2" si="3">V2+1</f>
        <v>1</v>
      </c>
      <c r="X2" s="45">
        <f t="shared" si="3"/>
        <v>2</v>
      </c>
      <c r="Y2" s="45">
        <f t="shared" si="3"/>
        <v>3</v>
      </c>
      <c r="Z2" s="45">
        <f t="shared" si="3"/>
        <v>4</v>
      </c>
      <c r="AA2" s="45">
        <f t="shared" si="3"/>
        <v>5</v>
      </c>
      <c r="AB2" s="45">
        <f t="shared" si="3"/>
        <v>6</v>
      </c>
      <c r="AC2" s="45">
        <f t="shared" si="3"/>
        <v>7</v>
      </c>
      <c r="AD2" s="45">
        <f t="shared" si="3"/>
        <v>8</v>
      </c>
      <c r="AE2" s="45">
        <f t="shared" si="3"/>
        <v>9</v>
      </c>
      <c r="AF2" s="14">
        <v>0.0</v>
      </c>
      <c r="AG2" s="45">
        <f t="shared" ref="AG2:AO2" si="4">AF2+1</f>
        <v>1</v>
      </c>
      <c r="AH2" s="45">
        <f t="shared" si="4"/>
        <v>2</v>
      </c>
      <c r="AI2" s="45">
        <f t="shared" si="4"/>
        <v>3</v>
      </c>
      <c r="AJ2" s="45">
        <f t="shared" si="4"/>
        <v>4</v>
      </c>
      <c r="AK2" s="45">
        <f t="shared" si="4"/>
        <v>5</v>
      </c>
      <c r="AL2" s="45">
        <f t="shared" si="4"/>
        <v>6</v>
      </c>
      <c r="AM2" s="45">
        <f t="shared" si="4"/>
        <v>7</v>
      </c>
      <c r="AN2" s="45">
        <f t="shared" si="4"/>
        <v>8</v>
      </c>
      <c r="AO2" s="45">
        <f t="shared" si="4"/>
        <v>9</v>
      </c>
      <c r="AP2" s="14">
        <v>0.0</v>
      </c>
      <c r="AQ2" s="45">
        <f t="shared" ref="AQ2:AY2" si="5">AP2+1</f>
        <v>1</v>
      </c>
      <c r="AR2" s="45">
        <f t="shared" si="5"/>
        <v>2</v>
      </c>
      <c r="AS2" s="45">
        <f t="shared" si="5"/>
        <v>3</v>
      </c>
      <c r="AT2" s="45">
        <f t="shared" si="5"/>
        <v>4</v>
      </c>
      <c r="AU2" s="45">
        <f t="shared" si="5"/>
        <v>5</v>
      </c>
      <c r="AV2" s="45">
        <f t="shared" si="5"/>
        <v>6</v>
      </c>
      <c r="AW2" s="45">
        <f t="shared" si="5"/>
        <v>7</v>
      </c>
      <c r="AX2" s="45">
        <f t="shared" si="5"/>
        <v>8</v>
      </c>
      <c r="AY2" s="45">
        <f t="shared" si="5"/>
        <v>9</v>
      </c>
      <c r="AZ2" s="14">
        <v>0.0</v>
      </c>
      <c r="BA2" s="45">
        <f t="shared" ref="BA2:BI2" si="6">AZ2+1</f>
        <v>1</v>
      </c>
      <c r="BB2" s="45">
        <f t="shared" si="6"/>
        <v>2</v>
      </c>
      <c r="BC2" s="45">
        <f t="shared" si="6"/>
        <v>3</v>
      </c>
      <c r="BD2" s="45">
        <f t="shared" si="6"/>
        <v>4</v>
      </c>
      <c r="BE2" s="45">
        <f t="shared" si="6"/>
        <v>5</v>
      </c>
      <c r="BF2" s="45">
        <f t="shared" si="6"/>
        <v>6</v>
      </c>
      <c r="BG2" s="45">
        <f t="shared" si="6"/>
        <v>7</v>
      </c>
      <c r="BH2" s="45">
        <f t="shared" si="6"/>
        <v>8</v>
      </c>
      <c r="BI2" s="45">
        <f t="shared" si="6"/>
        <v>9</v>
      </c>
      <c r="BJ2" s="14">
        <v>0.0</v>
      </c>
      <c r="BK2" s="45">
        <f t="shared" ref="BK2:BS2" si="7">BJ2+1</f>
        <v>1</v>
      </c>
      <c r="BL2" s="45">
        <f t="shared" si="7"/>
        <v>2</v>
      </c>
      <c r="BM2" s="45">
        <f t="shared" si="7"/>
        <v>3</v>
      </c>
      <c r="BN2" s="45">
        <f t="shared" si="7"/>
        <v>4</v>
      </c>
      <c r="BO2" s="45">
        <f t="shared" si="7"/>
        <v>5</v>
      </c>
      <c r="BP2" s="45">
        <f t="shared" si="7"/>
        <v>6</v>
      </c>
      <c r="BQ2" s="45">
        <f t="shared" si="7"/>
        <v>7</v>
      </c>
      <c r="BR2" s="45">
        <f t="shared" si="7"/>
        <v>8</v>
      </c>
      <c r="BS2" s="45">
        <f t="shared" si="7"/>
        <v>9</v>
      </c>
      <c r="BT2" s="14">
        <v>0.0</v>
      </c>
      <c r="BU2" s="10"/>
      <c r="BV2" s="78"/>
      <c r="BW2" s="78"/>
      <c r="BX2" s="78"/>
      <c r="BY2" s="78"/>
      <c r="BZ2" s="78"/>
      <c r="CA2" s="78"/>
      <c r="CB2" s="78"/>
      <c r="CC2" s="78"/>
      <c r="CD2" s="78"/>
    </row>
    <row r="3" ht="9.0" customHeight="1">
      <c r="A3" s="80">
        <v>50.0</v>
      </c>
      <c r="B3" s="78" t="str">
        <f t="shared" ref="B3:BT3" si="8">CHAR(164)</f>
        <v>¤</v>
      </c>
      <c r="C3" s="78" t="str">
        <f t="shared" si="8"/>
        <v>¤</v>
      </c>
      <c r="D3" s="78" t="str">
        <f t="shared" si="8"/>
        <v>¤</v>
      </c>
      <c r="E3" s="78" t="str">
        <f t="shared" si="8"/>
        <v>¤</v>
      </c>
      <c r="F3" s="78" t="str">
        <f t="shared" si="8"/>
        <v>¤</v>
      </c>
      <c r="G3" s="78" t="str">
        <f t="shared" si="8"/>
        <v>¤</v>
      </c>
      <c r="H3" s="78" t="str">
        <f t="shared" si="8"/>
        <v>¤</v>
      </c>
      <c r="I3" s="78" t="str">
        <f t="shared" si="8"/>
        <v>¤</v>
      </c>
      <c r="J3" s="78" t="str">
        <f t="shared" si="8"/>
        <v>¤</v>
      </c>
      <c r="K3" s="78" t="str">
        <f t="shared" si="8"/>
        <v>¤</v>
      </c>
      <c r="L3" s="78" t="str">
        <f t="shared" si="8"/>
        <v>¤</v>
      </c>
      <c r="M3" s="78" t="str">
        <f t="shared" si="8"/>
        <v>¤</v>
      </c>
      <c r="N3" s="78" t="str">
        <f t="shared" si="8"/>
        <v>¤</v>
      </c>
      <c r="O3" s="78" t="str">
        <f t="shared" si="8"/>
        <v>¤</v>
      </c>
      <c r="P3" s="78" t="str">
        <f t="shared" si="8"/>
        <v>¤</v>
      </c>
      <c r="Q3" s="78" t="str">
        <f t="shared" si="8"/>
        <v>¤</v>
      </c>
      <c r="R3" s="78" t="str">
        <f t="shared" si="8"/>
        <v>¤</v>
      </c>
      <c r="S3" s="78" t="str">
        <f t="shared" si="8"/>
        <v>¤</v>
      </c>
      <c r="T3" s="78" t="str">
        <f t="shared" si="8"/>
        <v>¤</v>
      </c>
      <c r="U3" s="78" t="str">
        <f t="shared" si="8"/>
        <v>¤</v>
      </c>
      <c r="V3" s="78" t="str">
        <f t="shared" si="8"/>
        <v>¤</v>
      </c>
      <c r="W3" s="78" t="str">
        <f t="shared" si="8"/>
        <v>¤</v>
      </c>
      <c r="X3" s="78" t="str">
        <f t="shared" si="8"/>
        <v>¤</v>
      </c>
      <c r="Y3" s="78" t="str">
        <f t="shared" si="8"/>
        <v>¤</v>
      </c>
      <c r="Z3" s="78" t="str">
        <f t="shared" si="8"/>
        <v>¤</v>
      </c>
      <c r="AA3" s="78" t="str">
        <f t="shared" si="8"/>
        <v>¤</v>
      </c>
      <c r="AB3" s="78" t="str">
        <f t="shared" si="8"/>
        <v>¤</v>
      </c>
      <c r="AC3" s="78" t="str">
        <f t="shared" si="8"/>
        <v>¤</v>
      </c>
      <c r="AD3" s="78" t="str">
        <f t="shared" si="8"/>
        <v>¤</v>
      </c>
      <c r="AE3" s="78" t="str">
        <f t="shared" si="8"/>
        <v>¤</v>
      </c>
      <c r="AF3" s="78" t="str">
        <f t="shared" si="8"/>
        <v>¤</v>
      </c>
      <c r="AG3" s="78" t="str">
        <f t="shared" si="8"/>
        <v>¤</v>
      </c>
      <c r="AH3" s="78" t="str">
        <f t="shared" si="8"/>
        <v>¤</v>
      </c>
      <c r="AI3" s="78" t="str">
        <f t="shared" si="8"/>
        <v>¤</v>
      </c>
      <c r="AJ3" s="78" t="str">
        <f t="shared" si="8"/>
        <v>¤</v>
      </c>
      <c r="AK3" s="78" t="str">
        <f t="shared" si="8"/>
        <v>¤</v>
      </c>
      <c r="AL3" s="78" t="str">
        <f t="shared" si="8"/>
        <v>¤</v>
      </c>
      <c r="AM3" s="78" t="str">
        <f t="shared" si="8"/>
        <v>¤</v>
      </c>
      <c r="AN3" s="78" t="str">
        <f t="shared" si="8"/>
        <v>¤</v>
      </c>
      <c r="AO3" s="78" t="str">
        <f t="shared" si="8"/>
        <v>¤</v>
      </c>
      <c r="AP3" s="78" t="str">
        <f t="shared" si="8"/>
        <v>¤</v>
      </c>
      <c r="AQ3" s="78" t="str">
        <f t="shared" si="8"/>
        <v>¤</v>
      </c>
      <c r="AR3" s="78" t="str">
        <f t="shared" si="8"/>
        <v>¤</v>
      </c>
      <c r="AS3" s="78" t="str">
        <f t="shared" si="8"/>
        <v>¤</v>
      </c>
      <c r="AT3" s="78" t="str">
        <f t="shared" si="8"/>
        <v>¤</v>
      </c>
      <c r="AU3" s="78" t="str">
        <f t="shared" si="8"/>
        <v>¤</v>
      </c>
      <c r="AV3" s="78" t="str">
        <f t="shared" si="8"/>
        <v>¤</v>
      </c>
      <c r="AW3" s="78" t="str">
        <f t="shared" si="8"/>
        <v>¤</v>
      </c>
      <c r="AX3" s="78" t="str">
        <f t="shared" si="8"/>
        <v>¤</v>
      </c>
      <c r="AY3" s="78" t="str">
        <f t="shared" si="8"/>
        <v>¤</v>
      </c>
      <c r="AZ3" s="78" t="str">
        <f t="shared" si="8"/>
        <v>¤</v>
      </c>
      <c r="BA3" s="78" t="str">
        <f t="shared" si="8"/>
        <v>¤</v>
      </c>
      <c r="BB3" s="78" t="str">
        <f t="shared" si="8"/>
        <v>¤</v>
      </c>
      <c r="BC3" s="78" t="str">
        <f t="shared" si="8"/>
        <v>¤</v>
      </c>
      <c r="BD3" s="78" t="str">
        <f t="shared" si="8"/>
        <v>¤</v>
      </c>
      <c r="BE3" s="78" t="str">
        <f t="shared" si="8"/>
        <v>¤</v>
      </c>
      <c r="BF3" s="78" t="str">
        <f t="shared" si="8"/>
        <v>¤</v>
      </c>
      <c r="BG3" s="78" t="str">
        <f t="shared" si="8"/>
        <v>¤</v>
      </c>
      <c r="BH3" s="78" t="str">
        <f t="shared" si="8"/>
        <v>¤</v>
      </c>
      <c r="BI3" s="78" t="str">
        <f t="shared" si="8"/>
        <v>¤</v>
      </c>
      <c r="BJ3" s="78" t="str">
        <f t="shared" si="8"/>
        <v>¤</v>
      </c>
      <c r="BK3" s="78" t="str">
        <f t="shared" si="8"/>
        <v>¤</v>
      </c>
      <c r="BL3" s="78" t="str">
        <f t="shared" si="8"/>
        <v>¤</v>
      </c>
      <c r="BM3" s="78" t="str">
        <f t="shared" si="8"/>
        <v>¤</v>
      </c>
      <c r="BN3" s="78" t="str">
        <f t="shared" si="8"/>
        <v>¤</v>
      </c>
      <c r="BO3" s="78" t="str">
        <f t="shared" si="8"/>
        <v>¤</v>
      </c>
      <c r="BP3" s="78" t="str">
        <f t="shared" si="8"/>
        <v>¤</v>
      </c>
      <c r="BQ3" s="78" t="str">
        <f t="shared" si="8"/>
        <v>¤</v>
      </c>
      <c r="BR3" s="78" t="str">
        <f t="shared" si="8"/>
        <v>¤</v>
      </c>
      <c r="BS3" s="78" t="str">
        <f t="shared" si="8"/>
        <v>¤</v>
      </c>
      <c r="BT3" s="78" t="str">
        <f t="shared" si="8"/>
        <v>¤</v>
      </c>
      <c r="BU3" s="80">
        <v>50.0</v>
      </c>
      <c r="BV3" s="78"/>
      <c r="BW3" s="78"/>
      <c r="BX3" s="78"/>
      <c r="BY3" s="78"/>
      <c r="BZ3" s="78"/>
      <c r="CA3" s="78"/>
      <c r="CB3" s="78"/>
      <c r="CC3" s="78"/>
      <c r="CD3" s="78"/>
    </row>
    <row r="4" ht="9.0" customHeight="1">
      <c r="A4" s="90">
        <f t="shared" ref="A4:A53" si="10">A3-1</f>
        <v>49</v>
      </c>
      <c r="B4" s="78" t="str">
        <f t="shared" ref="B4:BT4" si="9">CHAR(164)</f>
        <v>¤</v>
      </c>
      <c r="C4" s="78" t="str">
        <f t="shared" si="9"/>
        <v>¤</v>
      </c>
      <c r="D4" s="78" t="str">
        <f t="shared" si="9"/>
        <v>¤</v>
      </c>
      <c r="E4" s="78" t="str">
        <f t="shared" si="9"/>
        <v>¤</v>
      </c>
      <c r="F4" s="78" t="str">
        <f t="shared" si="9"/>
        <v>¤</v>
      </c>
      <c r="G4" s="78" t="str">
        <f t="shared" si="9"/>
        <v>¤</v>
      </c>
      <c r="H4" s="78" t="str">
        <f t="shared" si="9"/>
        <v>¤</v>
      </c>
      <c r="I4" s="78" t="str">
        <f t="shared" si="9"/>
        <v>¤</v>
      </c>
      <c r="J4" s="78" t="str">
        <f t="shared" si="9"/>
        <v>¤</v>
      </c>
      <c r="K4" s="78" t="str">
        <f t="shared" si="9"/>
        <v>¤</v>
      </c>
      <c r="L4" s="78" t="str">
        <f t="shared" si="9"/>
        <v>¤</v>
      </c>
      <c r="M4" s="78" t="str">
        <f t="shared" si="9"/>
        <v>¤</v>
      </c>
      <c r="N4" s="78" t="str">
        <f t="shared" si="9"/>
        <v>¤</v>
      </c>
      <c r="O4" s="78" t="str">
        <f t="shared" si="9"/>
        <v>¤</v>
      </c>
      <c r="P4" s="78" t="str">
        <f t="shared" si="9"/>
        <v>¤</v>
      </c>
      <c r="Q4" s="78" t="str">
        <f t="shared" si="9"/>
        <v>¤</v>
      </c>
      <c r="R4" s="78" t="str">
        <f t="shared" si="9"/>
        <v>¤</v>
      </c>
      <c r="S4" s="78" t="str">
        <f t="shared" si="9"/>
        <v>¤</v>
      </c>
      <c r="T4" s="78" t="str">
        <f t="shared" si="9"/>
        <v>¤</v>
      </c>
      <c r="U4" s="78" t="str">
        <f t="shared" si="9"/>
        <v>¤</v>
      </c>
      <c r="V4" s="78" t="str">
        <f t="shared" si="9"/>
        <v>¤</v>
      </c>
      <c r="W4" s="78" t="str">
        <f t="shared" si="9"/>
        <v>¤</v>
      </c>
      <c r="X4" s="78" t="str">
        <f t="shared" si="9"/>
        <v>¤</v>
      </c>
      <c r="Y4" s="78" t="str">
        <f t="shared" si="9"/>
        <v>¤</v>
      </c>
      <c r="Z4" s="78" t="str">
        <f t="shared" si="9"/>
        <v>¤</v>
      </c>
      <c r="AA4" s="78" t="str">
        <f t="shared" si="9"/>
        <v>¤</v>
      </c>
      <c r="AB4" s="78" t="str">
        <f t="shared" si="9"/>
        <v>¤</v>
      </c>
      <c r="AC4" s="78" t="str">
        <f t="shared" si="9"/>
        <v>¤</v>
      </c>
      <c r="AD4" s="78" t="str">
        <f t="shared" si="9"/>
        <v>¤</v>
      </c>
      <c r="AE4" s="78" t="str">
        <f t="shared" si="9"/>
        <v>¤</v>
      </c>
      <c r="AF4" s="78" t="str">
        <f t="shared" si="9"/>
        <v>¤</v>
      </c>
      <c r="AG4" s="78" t="str">
        <f t="shared" si="9"/>
        <v>¤</v>
      </c>
      <c r="AH4" s="78" t="str">
        <f t="shared" si="9"/>
        <v>¤</v>
      </c>
      <c r="AI4" s="78" t="str">
        <f t="shared" si="9"/>
        <v>¤</v>
      </c>
      <c r="AJ4" s="78" t="str">
        <f t="shared" si="9"/>
        <v>¤</v>
      </c>
      <c r="AK4" s="78" t="str">
        <f t="shared" si="9"/>
        <v>¤</v>
      </c>
      <c r="AL4" s="78" t="str">
        <f t="shared" si="9"/>
        <v>¤</v>
      </c>
      <c r="AM4" s="78" t="str">
        <f t="shared" si="9"/>
        <v>¤</v>
      </c>
      <c r="AN4" s="78" t="str">
        <f t="shared" si="9"/>
        <v>¤</v>
      </c>
      <c r="AO4" s="78" t="str">
        <f t="shared" si="9"/>
        <v>¤</v>
      </c>
      <c r="AP4" s="78" t="str">
        <f t="shared" si="9"/>
        <v>¤</v>
      </c>
      <c r="AQ4" s="78" t="str">
        <f t="shared" si="9"/>
        <v>¤</v>
      </c>
      <c r="AR4" s="78" t="str">
        <f t="shared" si="9"/>
        <v>¤</v>
      </c>
      <c r="AS4" s="78" t="str">
        <f t="shared" si="9"/>
        <v>¤</v>
      </c>
      <c r="AT4" s="78" t="str">
        <f t="shared" si="9"/>
        <v>¤</v>
      </c>
      <c r="AU4" s="78" t="str">
        <f t="shared" si="9"/>
        <v>¤</v>
      </c>
      <c r="AV4" s="78" t="str">
        <f t="shared" si="9"/>
        <v>¤</v>
      </c>
      <c r="AW4" s="78" t="str">
        <f t="shared" si="9"/>
        <v>¤</v>
      </c>
      <c r="AX4" s="78" t="str">
        <f t="shared" si="9"/>
        <v>¤</v>
      </c>
      <c r="AY4" s="78" t="str">
        <f t="shared" si="9"/>
        <v>¤</v>
      </c>
      <c r="AZ4" s="78" t="str">
        <f t="shared" si="9"/>
        <v>¤</v>
      </c>
      <c r="BA4" s="78" t="str">
        <f t="shared" si="9"/>
        <v>¤</v>
      </c>
      <c r="BB4" s="78" t="str">
        <f t="shared" si="9"/>
        <v>¤</v>
      </c>
      <c r="BC4" s="78" t="str">
        <f t="shared" si="9"/>
        <v>¤</v>
      </c>
      <c r="BD4" s="78" t="str">
        <f t="shared" si="9"/>
        <v>¤</v>
      </c>
      <c r="BE4" s="78" t="str">
        <f t="shared" si="9"/>
        <v>¤</v>
      </c>
      <c r="BF4" s="78" t="str">
        <f t="shared" si="9"/>
        <v>¤</v>
      </c>
      <c r="BG4" s="78" t="str">
        <f t="shared" si="9"/>
        <v>¤</v>
      </c>
      <c r="BH4" s="78" t="str">
        <f t="shared" si="9"/>
        <v>¤</v>
      </c>
      <c r="BI4" s="78" t="str">
        <f t="shared" si="9"/>
        <v>¤</v>
      </c>
      <c r="BJ4" s="78" t="str">
        <f t="shared" si="9"/>
        <v>¤</v>
      </c>
      <c r="BK4" s="78" t="str">
        <f t="shared" si="9"/>
        <v>¤</v>
      </c>
      <c r="BL4" s="78" t="str">
        <f t="shared" si="9"/>
        <v>¤</v>
      </c>
      <c r="BM4" s="78" t="str">
        <f t="shared" si="9"/>
        <v>¤</v>
      </c>
      <c r="BN4" s="78" t="str">
        <f t="shared" si="9"/>
        <v>¤</v>
      </c>
      <c r="BO4" s="78" t="str">
        <f t="shared" si="9"/>
        <v>¤</v>
      </c>
      <c r="BP4" s="78" t="str">
        <f t="shared" si="9"/>
        <v>¤</v>
      </c>
      <c r="BQ4" s="78" t="str">
        <f t="shared" si="9"/>
        <v>¤</v>
      </c>
      <c r="BR4" s="78" t="str">
        <f t="shared" si="9"/>
        <v>¤</v>
      </c>
      <c r="BS4" s="78" t="str">
        <f t="shared" si="9"/>
        <v>¤</v>
      </c>
      <c r="BT4" s="78" t="str">
        <f t="shared" si="9"/>
        <v>¤</v>
      </c>
      <c r="BU4" s="90">
        <f t="shared" ref="BU4:BU53" si="12">BU3-1</f>
        <v>49</v>
      </c>
      <c r="BV4" s="78"/>
      <c r="BW4" s="78"/>
      <c r="BX4" s="78"/>
      <c r="BY4" s="78"/>
      <c r="BZ4" s="78"/>
      <c r="CA4" s="78"/>
      <c r="CB4" s="78"/>
      <c r="CC4" s="78"/>
      <c r="CD4" s="78"/>
    </row>
    <row r="5" ht="9.0" customHeight="1">
      <c r="A5" s="90">
        <f t="shared" si="10"/>
        <v>48</v>
      </c>
      <c r="B5" s="78" t="str">
        <f t="shared" ref="B5:BT5" si="11">CHAR(164)</f>
        <v>¤</v>
      </c>
      <c r="C5" s="78" t="str">
        <f t="shared" si="11"/>
        <v>¤</v>
      </c>
      <c r="D5" s="78" t="str">
        <f t="shared" si="11"/>
        <v>¤</v>
      </c>
      <c r="E5" s="78" t="str">
        <f t="shared" si="11"/>
        <v>¤</v>
      </c>
      <c r="F5" s="78" t="str">
        <f t="shared" si="11"/>
        <v>¤</v>
      </c>
      <c r="G5" s="78" t="str">
        <f t="shared" si="11"/>
        <v>¤</v>
      </c>
      <c r="H5" s="78" t="str">
        <f t="shared" si="11"/>
        <v>¤</v>
      </c>
      <c r="I5" s="78" t="str">
        <f t="shared" si="11"/>
        <v>¤</v>
      </c>
      <c r="J5" s="78" t="str">
        <f t="shared" si="11"/>
        <v>¤</v>
      </c>
      <c r="K5" s="78" t="str">
        <f t="shared" si="11"/>
        <v>¤</v>
      </c>
      <c r="L5" s="78" t="str">
        <f t="shared" si="11"/>
        <v>¤</v>
      </c>
      <c r="M5" s="78" t="str">
        <f t="shared" si="11"/>
        <v>¤</v>
      </c>
      <c r="N5" s="78" t="str">
        <f t="shared" si="11"/>
        <v>¤</v>
      </c>
      <c r="O5" s="78" t="str">
        <f t="shared" si="11"/>
        <v>¤</v>
      </c>
      <c r="P5" s="78" t="str">
        <f t="shared" si="11"/>
        <v>¤</v>
      </c>
      <c r="Q5" s="78" t="str">
        <f t="shared" si="11"/>
        <v>¤</v>
      </c>
      <c r="R5" s="78" t="str">
        <f t="shared" si="11"/>
        <v>¤</v>
      </c>
      <c r="S5" s="78" t="str">
        <f t="shared" si="11"/>
        <v>¤</v>
      </c>
      <c r="T5" s="78" t="str">
        <f t="shared" si="11"/>
        <v>¤</v>
      </c>
      <c r="U5" s="78" t="str">
        <f t="shared" si="11"/>
        <v>¤</v>
      </c>
      <c r="V5" s="78" t="str">
        <f t="shared" si="11"/>
        <v>¤</v>
      </c>
      <c r="W5" s="78" t="str">
        <f t="shared" si="11"/>
        <v>¤</v>
      </c>
      <c r="X5" s="78" t="str">
        <f t="shared" si="11"/>
        <v>¤</v>
      </c>
      <c r="Y5" s="78" t="str">
        <f t="shared" si="11"/>
        <v>¤</v>
      </c>
      <c r="Z5" s="78" t="str">
        <f t="shared" si="11"/>
        <v>¤</v>
      </c>
      <c r="AA5" s="78" t="str">
        <f t="shared" si="11"/>
        <v>¤</v>
      </c>
      <c r="AB5" s="78" t="str">
        <f t="shared" si="11"/>
        <v>¤</v>
      </c>
      <c r="AC5" s="78" t="str">
        <f t="shared" si="11"/>
        <v>¤</v>
      </c>
      <c r="AD5" s="78" t="str">
        <f t="shared" si="11"/>
        <v>¤</v>
      </c>
      <c r="AE5" s="78" t="str">
        <f t="shared" si="11"/>
        <v>¤</v>
      </c>
      <c r="AF5" s="78" t="str">
        <f t="shared" si="11"/>
        <v>¤</v>
      </c>
      <c r="AG5" s="78" t="str">
        <f t="shared" si="11"/>
        <v>¤</v>
      </c>
      <c r="AH5" s="78" t="str">
        <f t="shared" si="11"/>
        <v>¤</v>
      </c>
      <c r="AI5" s="78" t="str">
        <f t="shared" si="11"/>
        <v>¤</v>
      </c>
      <c r="AJ5" s="78" t="str">
        <f t="shared" si="11"/>
        <v>¤</v>
      </c>
      <c r="AK5" s="78" t="str">
        <f t="shared" si="11"/>
        <v>¤</v>
      </c>
      <c r="AL5" s="78" t="str">
        <f t="shared" si="11"/>
        <v>¤</v>
      </c>
      <c r="AM5" s="78" t="str">
        <f t="shared" si="11"/>
        <v>¤</v>
      </c>
      <c r="AN5" s="78" t="str">
        <f t="shared" si="11"/>
        <v>¤</v>
      </c>
      <c r="AO5" s="78" t="str">
        <f t="shared" si="11"/>
        <v>¤</v>
      </c>
      <c r="AP5" s="78" t="str">
        <f t="shared" si="11"/>
        <v>¤</v>
      </c>
      <c r="AQ5" s="78" t="str">
        <f t="shared" si="11"/>
        <v>¤</v>
      </c>
      <c r="AR5" s="78" t="str">
        <f t="shared" si="11"/>
        <v>¤</v>
      </c>
      <c r="AS5" s="78" t="str">
        <f t="shared" si="11"/>
        <v>¤</v>
      </c>
      <c r="AT5" s="78" t="str">
        <f t="shared" si="11"/>
        <v>¤</v>
      </c>
      <c r="AU5" s="78" t="str">
        <f t="shared" si="11"/>
        <v>¤</v>
      </c>
      <c r="AV5" s="78" t="str">
        <f t="shared" si="11"/>
        <v>¤</v>
      </c>
      <c r="AW5" s="78" t="str">
        <f t="shared" si="11"/>
        <v>¤</v>
      </c>
      <c r="AX5" s="78" t="str">
        <f t="shared" si="11"/>
        <v>¤</v>
      </c>
      <c r="AY5" s="78" t="str">
        <f t="shared" si="11"/>
        <v>¤</v>
      </c>
      <c r="AZ5" s="78" t="str">
        <f t="shared" si="11"/>
        <v>¤</v>
      </c>
      <c r="BA5" s="78" t="str">
        <f t="shared" si="11"/>
        <v>¤</v>
      </c>
      <c r="BB5" s="78" t="str">
        <f t="shared" si="11"/>
        <v>¤</v>
      </c>
      <c r="BC5" s="78" t="str">
        <f t="shared" si="11"/>
        <v>¤</v>
      </c>
      <c r="BD5" s="78" t="str">
        <f t="shared" si="11"/>
        <v>¤</v>
      </c>
      <c r="BE5" s="78" t="str">
        <f t="shared" si="11"/>
        <v>¤</v>
      </c>
      <c r="BF5" s="78" t="str">
        <f t="shared" si="11"/>
        <v>¤</v>
      </c>
      <c r="BG5" s="78" t="str">
        <f t="shared" si="11"/>
        <v>¤</v>
      </c>
      <c r="BH5" s="78" t="str">
        <f t="shared" si="11"/>
        <v>¤</v>
      </c>
      <c r="BI5" s="78" t="str">
        <f t="shared" si="11"/>
        <v>¤</v>
      </c>
      <c r="BJ5" s="78" t="str">
        <f t="shared" si="11"/>
        <v>¤</v>
      </c>
      <c r="BK5" s="78" t="str">
        <f t="shared" si="11"/>
        <v>¤</v>
      </c>
      <c r="BL5" s="78" t="str">
        <f t="shared" si="11"/>
        <v>¤</v>
      </c>
      <c r="BM5" s="78" t="str">
        <f t="shared" si="11"/>
        <v>¤</v>
      </c>
      <c r="BN5" s="78" t="str">
        <f t="shared" si="11"/>
        <v>¤</v>
      </c>
      <c r="BO5" s="78" t="str">
        <f t="shared" si="11"/>
        <v>¤</v>
      </c>
      <c r="BP5" s="78" t="str">
        <f t="shared" si="11"/>
        <v>¤</v>
      </c>
      <c r="BQ5" s="78" t="str">
        <f t="shared" si="11"/>
        <v>¤</v>
      </c>
      <c r="BR5" s="78" t="str">
        <f t="shared" si="11"/>
        <v>¤</v>
      </c>
      <c r="BS5" s="78" t="str">
        <f t="shared" si="11"/>
        <v>¤</v>
      </c>
      <c r="BT5" s="78" t="str">
        <f t="shared" si="11"/>
        <v>¤</v>
      </c>
      <c r="BU5" s="90">
        <f t="shared" si="12"/>
        <v>48</v>
      </c>
      <c r="BV5" s="78"/>
      <c r="BW5" s="78"/>
      <c r="BX5" s="78"/>
      <c r="BY5" s="78"/>
      <c r="BZ5" s="78"/>
      <c r="CA5" s="78"/>
      <c r="CB5" s="78"/>
      <c r="CC5" s="78"/>
      <c r="CD5" s="78"/>
    </row>
    <row r="6" ht="9.0" customHeight="1">
      <c r="A6" s="90">
        <f t="shared" si="10"/>
        <v>47</v>
      </c>
      <c r="B6" s="78" t="str">
        <f t="shared" ref="B6:BT6" si="13">CHAR(164)</f>
        <v>¤</v>
      </c>
      <c r="C6" s="78" t="str">
        <f t="shared" si="13"/>
        <v>¤</v>
      </c>
      <c r="D6" s="78" t="str">
        <f t="shared" si="13"/>
        <v>¤</v>
      </c>
      <c r="E6" s="78" t="str">
        <f t="shared" si="13"/>
        <v>¤</v>
      </c>
      <c r="F6" s="78" t="str">
        <f t="shared" si="13"/>
        <v>¤</v>
      </c>
      <c r="G6" s="78" t="str">
        <f t="shared" si="13"/>
        <v>¤</v>
      </c>
      <c r="H6" s="78" t="str">
        <f t="shared" si="13"/>
        <v>¤</v>
      </c>
      <c r="I6" s="78" t="str">
        <f t="shared" si="13"/>
        <v>¤</v>
      </c>
      <c r="J6" s="78" t="str">
        <f t="shared" si="13"/>
        <v>¤</v>
      </c>
      <c r="K6" s="78" t="str">
        <f t="shared" si="13"/>
        <v>¤</v>
      </c>
      <c r="L6" s="78" t="str">
        <f t="shared" si="13"/>
        <v>¤</v>
      </c>
      <c r="M6" s="78" t="str">
        <f t="shared" si="13"/>
        <v>¤</v>
      </c>
      <c r="N6" s="78" t="str">
        <f t="shared" si="13"/>
        <v>¤</v>
      </c>
      <c r="O6" s="78" t="str">
        <f t="shared" si="13"/>
        <v>¤</v>
      </c>
      <c r="P6" s="78" t="str">
        <f t="shared" si="13"/>
        <v>¤</v>
      </c>
      <c r="Q6" s="78" t="str">
        <f t="shared" si="13"/>
        <v>¤</v>
      </c>
      <c r="R6" s="78" t="str">
        <f t="shared" si="13"/>
        <v>¤</v>
      </c>
      <c r="S6" s="78" t="str">
        <f t="shared" si="13"/>
        <v>¤</v>
      </c>
      <c r="T6" s="78" t="str">
        <f t="shared" si="13"/>
        <v>¤</v>
      </c>
      <c r="U6" s="78" t="str">
        <f t="shared" si="13"/>
        <v>¤</v>
      </c>
      <c r="V6" s="78" t="str">
        <f t="shared" si="13"/>
        <v>¤</v>
      </c>
      <c r="W6" s="78" t="str">
        <f t="shared" si="13"/>
        <v>¤</v>
      </c>
      <c r="X6" s="78" t="str">
        <f t="shared" si="13"/>
        <v>¤</v>
      </c>
      <c r="Y6" s="78" t="str">
        <f t="shared" si="13"/>
        <v>¤</v>
      </c>
      <c r="Z6" s="78" t="str">
        <f t="shared" si="13"/>
        <v>¤</v>
      </c>
      <c r="AA6" s="78" t="str">
        <f t="shared" si="13"/>
        <v>¤</v>
      </c>
      <c r="AB6" s="78" t="str">
        <f t="shared" si="13"/>
        <v>¤</v>
      </c>
      <c r="AC6" s="78" t="str">
        <f t="shared" si="13"/>
        <v>¤</v>
      </c>
      <c r="AD6" s="78" t="str">
        <f t="shared" si="13"/>
        <v>¤</v>
      </c>
      <c r="AE6" s="78" t="str">
        <f t="shared" si="13"/>
        <v>¤</v>
      </c>
      <c r="AF6" s="78" t="str">
        <f t="shared" si="13"/>
        <v>¤</v>
      </c>
      <c r="AG6" s="78" t="str">
        <f t="shared" si="13"/>
        <v>¤</v>
      </c>
      <c r="AH6" s="78" t="str">
        <f t="shared" si="13"/>
        <v>¤</v>
      </c>
      <c r="AI6" s="78" t="str">
        <f t="shared" si="13"/>
        <v>¤</v>
      </c>
      <c r="AJ6" s="78" t="str">
        <f t="shared" si="13"/>
        <v>¤</v>
      </c>
      <c r="AK6" s="78" t="str">
        <f t="shared" si="13"/>
        <v>¤</v>
      </c>
      <c r="AL6" s="78" t="str">
        <f t="shared" si="13"/>
        <v>¤</v>
      </c>
      <c r="AM6" s="78" t="str">
        <f t="shared" si="13"/>
        <v>¤</v>
      </c>
      <c r="AN6" s="78" t="str">
        <f t="shared" si="13"/>
        <v>¤</v>
      </c>
      <c r="AO6" s="78" t="str">
        <f t="shared" si="13"/>
        <v>¤</v>
      </c>
      <c r="AP6" s="78" t="str">
        <f t="shared" si="13"/>
        <v>¤</v>
      </c>
      <c r="AQ6" s="78" t="str">
        <f t="shared" si="13"/>
        <v>¤</v>
      </c>
      <c r="AR6" s="78" t="str">
        <f t="shared" si="13"/>
        <v>¤</v>
      </c>
      <c r="AS6" s="78" t="str">
        <f t="shared" si="13"/>
        <v>¤</v>
      </c>
      <c r="AT6" s="78" t="str">
        <f t="shared" si="13"/>
        <v>¤</v>
      </c>
      <c r="AU6" s="78" t="str">
        <f t="shared" si="13"/>
        <v>¤</v>
      </c>
      <c r="AV6" s="78" t="str">
        <f t="shared" si="13"/>
        <v>¤</v>
      </c>
      <c r="AW6" s="78" t="str">
        <f t="shared" si="13"/>
        <v>¤</v>
      </c>
      <c r="AX6" s="78" t="str">
        <f t="shared" si="13"/>
        <v>¤</v>
      </c>
      <c r="AY6" s="78" t="str">
        <f t="shared" si="13"/>
        <v>¤</v>
      </c>
      <c r="AZ6" s="78" t="str">
        <f t="shared" si="13"/>
        <v>¤</v>
      </c>
      <c r="BA6" s="78" t="str">
        <f t="shared" si="13"/>
        <v>¤</v>
      </c>
      <c r="BB6" s="78" t="str">
        <f t="shared" si="13"/>
        <v>¤</v>
      </c>
      <c r="BC6" s="78" t="str">
        <f t="shared" si="13"/>
        <v>¤</v>
      </c>
      <c r="BD6" s="78" t="str">
        <f t="shared" si="13"/>
        <v>¤</v>
      </c>
      <c r="BE6" s="78" t="str">
        <f t="shared" si="13"/>
        <v>¤</v>
      </c>
      <c r="BF6" s="78" t="str">
        <f t="shared" si="13"/>
        <v>¤</v>
      </c>
      <c r="BG6" s="78" t="str">
        <f t="shared" si="13"/>
        <v>¤</v>
      </c>
      <c r="BH6" s="78" t="str">
        <f t="shared" si="13"/>
        <v>¤</v>
      </c>
      <c r="BI6" s="78" t="str">
        <f t="shared" si="13"/>
        <v>¤</v>
      </c>
      <c r="BJ6" s="78" t="str">
        <f t="shared" si="13"/>
        <v>¤</v>
      </c>
      <c r="BK6" s="78" t="str">
        <f t="shared" si="13"/>
        <v>¤</v>
      </c>
      <c r="BL6" s="78" t="str">
        <f t="shared" si="13"/>
        <v>¤</v>
      </c>
      <c r="BM6" s="78" t="str">
        <f t="shared" si="13"/>
        <v>¤</v>
      </c>
      <c r="BN6" s="78" t="str">
        <f t="shared" si="13"/>
        <v>¤</v>
      </c>
      <c r="BO6" s="78" t="str">
        <f t="shared" si="13"/>
        <v>¤</v>
      </c>
      <c r="BP6" s="78" t="str">
        <f t="shared" si="13"/>
        <v>¤</v>
      </c>
      <c r="BQ6" s="78" t="str">
        <f t="shared" si="13"/>
        <v>¤</v>
      </c>
      <c r="BR6" s="78" t="str">
        <f t="shared" si="13"/>
        <v>¤</v>
      </c>
      <c r="BS6" s="78" t="str">
        <f t="shared" si="13"/>
        <v>¤</v>
      </c>
      <c r="BT6" s="78" t="str">
        <f t="shared" si="13"/>
        <v>¤</v>
      </c>
      <c r="BU6" s="90">
        <f t="shared" si="12"/>
        <v>47</v>
      </c>
      <c r="BV6" s="78"/>
      <c r="BW6" s="78"/>
      <c r="BX6" s="78"/>
      <c r="BY6" s="78"/>
      <c r="BZ6" s="78"/>
      <c r="CA6" s="78"/>
      <c r="CB6" s="78"/>
      <c r="CC6" s="78"/>
      <c r="CD6" s="78"/>
    </row>
    <row r="7" ht="9.0" customHeight="1">
      <c r="A7" s="90">
        <f t="shared" si="10"/>
        <v>46</v>
      </c>
      <c r="B7" s="78" t="str">
        <f t="shared" ref="B7:BT7" si="14">CHAR(164)</f>
        <v>¤</v>
      </c>
      <c r="C7" s="78" t="str">
        <f t="shared" si="14"/>
        <v>¤</v>
      </c>
      <c r="D7" s="78" t="str">
        <f t="shared" si="14"/>
        <v>¤</v>
      </c>
      <c r="E7" s="78" t="str">
        <f t="shared" si="14"/>
        <v>¤</v>
      </c>
      <c r="F7" s="78" t="str">
        <f t="shared" si="14"/>
        <v>¤</v>
      </c>
      <c r="G7" s="78" t="str">
        <f t="shared" si="14"/>
        <v>¤</v>
      </c>
      <c r="H7" s="78" t="str">
        <f t="shared" si="14"/>
        <v>¤</v>
      </c>
      <c r="I7" s="78" t="str">
        <f t="shared" si="14"/>
        <v>¤</v>
      </c>
      <c r="J7" s="78" t="str">
        <f t="shared" si="14"/>
        <v>¤</v>
      </c>
      <c r="K7" s="78" t="str">
        <f t="shared" si="14"/>
        <v>¤</v>
      </c>
      <c r="L7" s="78" t="str">
        <f t="shared" si="14"/>
        <v>¤</v>
      </c>
      <c r="M7" s="78" t="str">
        <f t="shared" si="14"/>
        <v>¤</v>
      </c>
      <c r="N7" s="78" t="str">
        <f t="shared" si="14"/>
        <v>¤</v>
      </c>
      <c r="O7" s="78" t="str">
        <f t="shared" si="14"/>
        <v>¤</v>
      </c>
      <c r="P7" s="78" t="str">
        <f t="shared" si="14"/>
        <v>¤</v>
      </c>
      <c r="Q7" s="78" t="str">
        <f t="shared" si="14"/>
        <v>¤</v>
      </c>
      <c r="R7" s="78" t="str">
        <f t="shared" si="14"/>
        <v>¤</v>
      </c>
      <c r="S7" s="78" t="str">
        <f t="shared" si="14"/>
        <v>¤</v>
      </c>
      <c r="T7" s="78" t="str">
        <f t="shared" si="14"/>
        <v>¤</v>
      </c>
      <c r="U7" s="78" t="str">
        <f t="shared" si="14"/>
        <v>¤</v>
      </c>
      <c r="V7" s="78" t="str">
        <f t="shared" si="14"/>
        <v>¤</v>
      </c>
      <c r="W7" s="78" t="str">
        <f t="shared" si="14"/>
        <v>¤</v>
      </c>
      <c r="X7" s="78" t="str">
        <f t="shared" si="14"/>
        <v>¤</v>
      </c>
      <c r="Y7" s="78" t="str">
        <f t="shared" si="14"/>
        <v>¤</v>
      </c>
      <c r="Z7" s="78" t="str">
        <f t="shared" si="14"/>
        <v>¤</v>
      </c>
      <c r="AA7" s="78" t="str">
        <f t="shared" si="14"/>
        <v>¤</v>
      </c>
      <c r="AB7" s="78" t="str">
        <f t="shared" si="14"/>
        <v>¤</v>
      </c>
      <c r="AC7" s="78" t="str">
        <f t="shared" si="14"/>
        <v>¤</v>
      </c>
      <c r="AD7" s="78" t="str">
        <f t="shared" si="14"/>
        <v>¤</v>
      </c>
      <c r="AE7" s="78" t="str">
        <f t="shared" si="14"/>
        <v>¤</v>
      </c>
      <c r="AF7" s="78" t="str">
        <f t="shared" si="14"/>
        <v>¤</v>
      </c>
      <c r="AG7" s="78" t="str">
        <f t="shared" si="14"/>
        <v>¤</v>
      </c>
      <c r="AH7" s="78" t="str">
        <f t="shared" si="14"/>
        <v>¤</v>
      </c>
      <c r="AI7" s="78" t="str">
        <f t="shared" si="14"/>
        <v>¤</v>
      </c>
      <c r="AJ7" s="78" t="str">
        <f t="shared" si="14"/>
        <v>¤</v>
      </c>
      <c r="AK7" s="78" t="str">
        <f t="shared" si="14"/>
        <v>¤</v>
      </c>
      <c r="AL7" s="78" t="str">
        <f t="shared" si="14"/>
        <v>¤</v>
      </c>
      <c r="AM7" s="78" t="str">
        <f t="shared" si="14"/>
        <v>¤</v>
      </c>
      <c r="AN7" s="78" t="str">
        <f t="shared" si="14"/>
        <v>¤</v>
      </c>
      <c r="AO7" s="78" t="str">
        <f t="shared" si="14"/>
        <v>¤</v>
      </c>
      <c r="AP7" s="78" t="str">
        <f t="shared" si="14"/>
        <v>¤</v>
      </c>
      <c r="AQ7" s="78" t="str">
        <f t="shared" si="14"/>
        <v>¤</v>
      </c>
      <c r="AR7" s="78" t="str">
        <f t="shared" si="14"/>
        <v>¤</v>
      </c>
      <c r="AS7" s="78" t="str">
        <f t="shared" si="14"/>
        <v>¤</v>
      </c>
      <c r="AT7" s="78" t="str">
        <f t="shared" si="14"/>
        <v>¤</v>
      </c>
      <c r="AU7" s="78" t="str">
        <f t="shared" si="14"/>
        <v>¤</v>
      </c>
      <c r="AV7" s="78" t="str">
        <f t="shared" si="14"/>
        <v>¤</v>
      </c>
      <c r="AW7" s="78" t="str">
        <f t="shared" si="14"/>
        <v>¤</v>
      </c>
      <c r="AX7" s="78" t="str">
        <f t="shared" si="14"/>
        <v>¤</v>
      </c>
      <c r="AY7" s="78" t="str">
        <f t="shared" si="14"/>
        <v>¤</v>
      </c>
      <c r="AZ7" s="78" t="str">
        <f t="shared" si="14"/>
        <v>¤</v>
      </c>
      <c r="BA7" s="78" t="str">
        <f t="shared" si="14"/>
        <v>¤</v>
      </c>
      <c r="BB7" s="78" t="str">
        <f t="shared" si="14"/>
        <v>¤</v>
      </c>
      <c r="BC7" s="78" t="str">
        <f t="shared" si="14"/>
        <v>¤</v>
      </c>
      <c r="BD7" s="78" t="str">
        <f t="shared" si="14"/>
        <v>¤</v>
      </c>
      <c r="BE7" s="78" t="str">
        <f t="shared" si="14"/>
        <v>¤</v>
      </c>
      <c r="BF7" s="78" t="str">
        <f t="shared" si="14"/>
        <v>¤</v>
      </c>
      <c r="BG7" s="78" t="str">
        <f t="shared" si="14"/>
        <v>¤</v>
      </c>
      <c r="BH7" s="78" t="str">
        <f t="shared" si="14"/>
        <v>¤</v>
      </c>
      <c r="BI7" s="78" t="str">
        <f t="shared" si="14"/>
        <v>¤</v>
      </c>
      <c r="BJ7" s="78" t="str">
        <f t="shared" si="14"/>
        <v>¤</v>
      </c>
      <c r="BK7" s="78" t="str">
        <f t="shared" si="14"/>
        <v>¤</v>
      </c>
      <c r="BL7" s="78" t="str">
        <f t="shared" si="14"/>
        <v>¤</v>
      </c>
      <c r="BM7" s="78" t="str">
        <f t="shared" si="14"/>
        <v>¤</v>
      </c>
      <c r="BN7" s="78" t="str">
        <f t="shared" si="14"/>
        <v>¤</v>
      </c>
      <c r="BO7" s="78" t="str">
        <f t="shared" si="14"/>
        <v>¤</v>
      </c>
      <c r="BP7" s="78" t="str">
        <f t="shared" si="14"/>
        <v>¤</v>
      </c>
      <c r="BQ7" s="78" t="str">
        <f t="shared" si="14"/>
        <v>¤</v>
      </c>
      <c r="BR7" s="78" t="str">
        <f t="shared" si="14"/>
        <v>¤</v>
      </c>
      <c r="BS7" s="78" t="str">
        <f t="shared" si="14"/>
        <v>¤</v>
      </c>
      <c r="BT7" s="78" t="str">
        <f t="shared" si="14"/>
        <v>¤</v>
      </c>
      <c r="BU7" s="90">
        <f t="shared" si="12"/>
        <v>46</v>
      </c>
      <c r="BV7" s="78"/>
      <c r="BW7" s="102" t="s">
        <v>219</v>
      </c>
      <c r="BX7" s="102" t="s">
        <v>223</v>
      </c>
      <c r="BY7" s="104"/>
      <c r="BZ7" s="78"/>
      <c r="CA7" s="78"/>
      <c r="CB7" s="78"/>
      <c r="CC7" s="78"/>
      <c r="CD7" s="78"/>
    </row>
    <row r="8" ht="9.0" customHeight="1">
      <c r="A8" s="90">
        <f t="shared" si="10"/>
        <v>45</v>
      </c>
      <c r="B8" s="78" t="str">
        <f t="shared" ref="B8:Z8" si="15">CHAR(164)</f>
        <v>¤</v>
      </c>
      <c r="C8" s="78" t="str">
        <f t="shared" si="15"/>
        <v>¤</v>
      </c>
      <c r="D8" s="78" t="str">
        <f t="shared" si="15"/>
        <v>¤</v>
      </c>
      <c r="E8" s="78" t="str">
        <f t="shared" si="15"/>
        <v>¤</v>
      </c>
      <c r="F8" s="78" t="str">
        <f t="shared" si="15"/>
        <v>¤</v>
      </c>
      <c r="G8" s="78" t="str">
        <f t="shared" si="15"/>
        <v>¤</v>
      </c>
      <c r="H8" s="78" t="str">
        <f t="shared" si="15"/>
        <v>¤</v>
      </c>
      <c r="I8" s="78" t="str">
        <f t="shared" si="15"/>
        <v>¤</v>
      </c>
      <c r="J8" s="78" t="str">
        <f t="shared" si="15"/>
        <v>¤</v>
      </c>
      <c r="K8" s="78" t="str">
        <f t="shared" si="15"/>
        <v>¤</v>
      </c>
      <c r="L8" s="78" t="str">
        <f t="shared" si="15"/>
        <v>¤</v>
      </c>
      <c r="M8" s="78" t="str">
        <f t="shared" si="15"/>
        <v>¤</v>
      </c>
      <c r="N8" s="78" t="str">
        <f t="shared" si="15"/>
        <v>¤</v>
      </c>
      <c r="O8" s="78" t="str">
        <f t="shared" si="15"/>
        <v>¤</v>
      </c>
      <c r="P8" s="78" t="str">
        <f t="shared" si="15"/>
        <v>¤</v>
      </c>
      <c r="Q8" s="78" t="str">
        <f t="shared" si="15"/>
        <v>¤</v>
      </c>
      <c r="R8" s="78" t="str">
        <f t="shared" si="15"/>
        <v>¤</v>
      </c>
      <c r="S8" s="78" t="str">
        <f t="shared" si="15"/>
        <v>¤</v>
      </c>
      <c r="T8" s="78" t="str">
        <f t="shared" si="15"/>
        <v>¤</v>
      </c>
      <c r="U8" s="78" t="str">
        <f t="shared" si="15"/>
        <v>¤</v>
      </c>
      <c r="V8" s="78" t="str">
        <f t="shared" si="15"/>
        <v>¤</v>
      </c>
      <c r="W8" s="78" t="str">
        <f t="shared" si="15"/>
        <v>¤</v>
      </c>
      <c r="X8" s="78" t="str">
        <f t="shared" si="15"/>
        <v>¤</v>
      </c>
      <c r="Y8" s="78" t="str">
        <f t="shared" si="15"/>
        <v>¤</v>
      </c>
      <c r="Z8" s="78" t="str">
        <f t="shared" si="15"/>
        <v>¤</v>
      </c>
      <c r="AA8" s="102" t="s">
        <v>219</v>
      </c>
      <c r="AB8" s="102" t="s">
        <v>219</v>
      </c>
      <c r="AC8" s="102" t="s">
        <v>219</v>
      </c>
      <c r="AD8" s="102" t="s">
        <v>219</v>
      </c>
      <c r="AE8" s="102" t="s">
        <v>219</v>
      </c>
      <c r="AF8" s="102" t="s">
        <v>219</v>
      </c>
      <c r="AG8" s="102" t="s">
        <v>219</v>
      </c>
      <c r="AH8" s="102" t="s">
        <v>219</v>
      </c>
      <c r="AI8" s="102" t="s">
        <v>219</v>
      </c>
      <c r="AJ8" s="102" t="s">
        <v>219</v>
      </c>
      <c r="AK8" s="102" t="s">
        <v>219</v>
      </c>
      <c r="AL8" s="102" t="s">
        <v>219</v>
      </c>
      <c r="AM8" s="102" t="s">
        <v>219</v>
      </c>
      <c r="AN8" s="102" t="s">
        <v>219</v>
      </c>
      <c r="AO8" s="102" t="s">
        <v>219</v>
      </c>
      <c r="AP8" s="102" t="s">
        <v>219</v>
      </c>
      <c r="AQ8" s="102" t="s">
        <v>219</v>
      </c>
      <c r="AR8" s="102" t="s">
        <v>219</v>
      </c>
      <c r="AS8" s="102" t="s">
        <v>219</v>
      </c>
      <c r="AT8" s="102" t="s">
        <v>219</v>
      </c>
      <c r="AU8" s="102" t="s">
        <v>219</v>
      </c>
      <c r="AV8" s="78" t="str">
        <f t="shared" ref="AV8:BF8" si="16">CHAR(164)</f>
        <v>¤</v>
      </c>
      <c r="AW8" s="78" t="str">
        <f t="shared" si="16"/>
        <v>¤</v>
      </c>
      <c r="AX8" s="78" t="str">
        <f t="shared" si="16"/>
        <v>¤</v>
      </c>
      <c r="AY8" s="78" t="str">
        <f t="shared" si="16"/>
        <v>¤</v>
      </c>
      <c r="AZ8" s="78" t="str">
        <f t="shared" si="16"/>
        <v>¤</v>
      </c>
      <c r="BA8" s="78" t="str">
        <f t="shared" si="16"/>
        <v>¤</v>
      </c>
      <c r="BB8" s="78" t="str">
        <f t="shared" si="16"/>
        <v>¤</v>
      </c>
      <c r="BC8" s="78" t="str">
        <f t="shared" si="16"/>
        <v>¤</v>
      </c>
      <c r="BD8" s="78" t="str">
        <f t="shared" si="16"/>
        <v>¤</v>
      </c>
      <c r="BE8" s="78" t="str">
        <f t="shared" si="16"/>
        <v>¤</v>
      </c>
      <c r="BF8" s="78" t="str">
        <f t="shared" si="16"/>
        <v>¤</v>
      </c>
      <c r="BG8" s="106" t="s">
        <v>237</v>
      </c>
      <c r="BH8" s="78" t="str">
        <f t="shared" ref="BH8:BT8" si="17">CHAR(164)</f>
        <v>¤</v>
      </c>
      <c r="BI8" s="78" t="str">
        <f t="shared" si="17"/>
        <v>¤</v>
      </c>
      <c r="BJ8" s="78" t="str">
        <f t="shared" si="17"/>
        <v>¤</v>
      </c>
      <c r="BK8" s="78" t="str">
        <f t="shared" si="17"/>
        <v>¤</v>
      </c>
      <c r="BL8" s="78" t="str">
        <f t="shared" si="17"/>
        <v>¤</v>
      </c>
      <c r="BM8" s="78" t="str">
        <f t="shared" si="17"/>
        <v>¤</v>
      </c>
      <c r="BN8" s="78" t="str">
        <f t="shared" si="17"/>
        <v>¤</v>
      </c>
      <c r="BO8" s="78" t="str">
        <f t="shared" si="17"/>
        <v>¤</v>
      </c>
      <c r="BP8" s="78" t="str">
        <f t="shared" si="17"/>
        <v>¤</v>
      </c>
      <c r="BQ8" s="78" t="str">
        <f t="shared" si="17"/>
        <v>¤</v>
      </c>
      <c r="BR8" s="78" t="str">
        <f t="shared" si="17"/>
        <v>¤</v>
      </c>
      <c r="BS8" s="78" t="str">
        <f t="shared" si="17"/>
        <v>¤</v>
      </c>
      <c r="BT8" s="78" t="str">
        <f t="shared" si="17"/>
        <v>¤</v>
      </c>
      <c r="BU8" s="90">
        <f t="shared" si="12"/>
        <v>45</v>
      </c>
      <c r="BV8" s="78"/>
      <c r="BW8" s="109" t="s">
        <v>241</v>
      </c>
      <c r="BX8" s="110" t="s">
        <v>242</v>
      </c>
      <c r="BY8" s="104"/>
      <c r="BZ8" s="78"/>
      <c r="CA8" s="78"/>
      <c r="CB8" s="78"/>
      <c r="CC8" s="78"/>
      <c r="CD8" s="78"/>
    </row>
    <row r="9" ht="9.0" customHeight="1">
      <c r="A9" s="90">
        <f t="shared" si="10"/>
        <v>44</v>
      </c>
      <c r="B9" s="78" t="str">
        <f t="shared" ref="B9:AT9" si="18">CHAR(164)</f>
        <v>¤</v>
      </c>
      <c r="C9" s="78" t="str">
        <f t="shared" si="18"/>
        <v>¤</v>
      </c>
      <c r="D9" s="78" t="str">
        <f t="shared" si="18"/>
        <v>¤</v>
      </c>
      <c r="E9" s="78" t="str">
        <f t="shared" si="18"/>
        <v>¤</v>
      </c>
      <c r="F9" s="78" t="str">
        <f t="shared" si="18"/>
        <v>¤</v>
      </c>
      <c r="G9" s="78" t="str">
        <f t="shared" si="18"/>
        <v>¤</v>
      </c>
      <c r="H9" s="78" t="str">
        <f t="shared" si="18"/>
        <v>¤</v>
      </c>
      <c r="I9" s="78" t="str">
        <f t="shared" si="18"/>
        <v>¤</v>
      </c>
      <c r="J9" s="78" t="str">
        <f t="shared" si="18"/>
        <v>¤</v>
      </c>
      <c r="K9" s="78" t="str">
        <f t="shared" si="18"/>
        <v>¤</v>
      </c>
      <c r="L9" s="78" t="str">
        <f t="shared" si="18"/>
        <v>¤</v>
      </c>
      <c r="M9" s="78" t="str">
        <f t="shared" si="18"/>
        <v>¤</v>
      </c>
      <c r="N9" s="78" t="str">
        <f t="shared" si="18"/>
        <v>¤</v>
      </c>
      <c r="O9" s="78" t="str">
        <f t="shared" si="18"/>
        <v>¤</v>
      </c>
      <c r="P9" s="78" t="str">
        <f t="shared" si="18"/>
        <v>¤</v>
      </c>
      <c r="Q9" s="78" t="str">
        <f t="shared" si="18"/>
        <v>¤</v>
      </c>
      <c r="R9" s="78" t="str">
        <f t="shared" si="18"/>
        <v>¤</v>
      </c>
      <c r="S9" s="78" t="str">
        <f t="shared" si="18"/>
        <v>¤</v>
      </c>
      <c r="T9" s="78" t="str">
        <f t="shared" si="18"/>
        <v>¤</v>
      </c>
      <c r="U9" s="78" t="str">
        <f t="shared" si="18"/>
        <v>¤</v>
      </c>
      <c r="V9" s="78" t="str">
        <f t="shared" si="18"/>
        <v>¤</v>
      </c>
      <c r="W9" s="78" t="str">
        <f t="shared" si="18"/>
        <v>¤</v>
      </c>
      <c r="X9" s="78" t="str">
        <f t="shared" si="18"/>
        <v>¤</v>
      </c>
      <c r="Y9" s="78" t="str">
        <f t="shared" si="18"/>
        <v>¤</v>
      </c>
      <c r="Z9" s="78" t="str">
        <f t="shared" si="18"/>
        <v>¤</v>
      </c>
      <c r="AA9" s="78" t="str">
        <f t="shared" si="18"/>
        <v>¤</v>
      </c>
      <c r="AB9" s="78" t="str">
        <f t="shared" si="18"/>
        <v>¤</v>
      </c>
      <c r="AC9" s="78" t="str">
        <f t="shared" si="18"/>
        <v>¤</v>
      </c>
      <c r="AD9" s="78" t="str">
        <f t="shared" si="18"/>
        <v>¤</v>
      </c>
      <c r="AE9" s="78" t="str">
        <f t="shared" si="18"/>
        <v>¤</v>
      </c>
      <c r="AF9" s="78" t="str">
        <f t="shared" si="18"/>
        <v>¤</v>
      </c>
      <c r="AG9" s="78" t="str">
        <f t="shared" si="18"/>
        <v>¤</v>
      </c>
      <c r="AH9" s="78" t="str">
        <f t="shared" si="18"/>
        <v>¤</v>
      </c>
      <c r="AI9" s="78" t="str">
        <f t="shared" si="18"/>
        <v>¤</v>
      </c>
      <c r="AJ9" s="78" t="str">
        <f t="shared" si="18"/>
        <v>¤</v>
      </c>
      <c r="AK9" s="78" t="str">
        <f t="shared" si="18"/>
        <v>¤</v>
      </c>
      <c r="AL9" s="78" t="str">
        <f t="shared" si="18"/>
        <v>¤</v>
      </c>
      <c r="AM9" s="78" t="str">
        <f t="shared" si="18"/>
        <v>¤</v>
      </c>
      <c r="AN9" s="78" t="str">
        <f t="shared" si="18"/>
        <v>¤</v>
      </c>
      <c r="AO9" s="78" t="str">
        <f t="shared" si="18"/>
        <v>¤</v>
      </c>
      <c r="AP9" s="78" t="str">
        <f t="shared" si="18"/>
        <v>¤</v>
      </c>
      <c r="AQ9" s="78" t="str">
        <f t="shared" si="18"/>
        <v>¤</v>
      </c>
      <c r="AR9" s="78" t="str">
        <f t="shared" si="18"/>
        <v>¤</v>
      </c>
      <c r="AS9" s="78" t="str">
        <f t="shared" si="18"/>
        <v>¤</v>
      </c>
      <c r="AT9" s="78" t="str">
        <f t="shared" si="18"/>
        <v>¤</v>
      </c>
      <c r="AU9" s="102" t="s">
        <v>219</v>
      </c>
      <c r="AV9" s="78" t="str">
        <f t="shared" ref="AV9:BF9" si="19">CHAR(164)</f>
        <v>¤</v>
      </c>
      <c r="AW9" s="78" t="str">
        <f t="shared" si="19"/>
        <v>¤</v>
      </c>
      <c r="AX9" s="78" t="str">
        <f t="shared" si="19"/>
        <v>¤</v>
      </c>
      <c r="AY9" s="78" t="str">
        <f t="shared" si="19"/>
        <v>¤</v>
      </c>
      <c r="AZ9" s="78" t="str">
        <f t="shared" si="19"/>
        <v>¤</v>
      </c>
      <c r="BA9" s="78" t="str">
        <f t="shared" si="19"/>
        <v>¤</v>
      </c>
      <c r="BB9" s="78" t="str">
        <f t="shared" si="19"/>
        <v>¤</v>
      </c>
      <c r="BC9" s="78" t="str">
        <f t="shared" si="19"/>
        <v>¤</v>
      </c>
      <c r="BD9" s="78" t="str">
        <f t="shared" si="19"/>
        <v>¤</v>
      </c>
      <c r="BE9" s="78" t="str">
        <f t="shared" si="19"/>
        <v>¤</v>
      </c>
      <c r="BF9" s="78" t="str">
        <f t="shared" si="19"/>
        <v>¤</v>
      </c>
      <c r="BG9" s="106" t="s">
        <v>237</v>
      </c>
      <c r="BH9" s="78" t="str">
        <f t="shared" ref="BH9:BT9" si="20">CHAR(164)</f>
        <v>¤</v>
      </c>
      <c r="BI9" s="78" t="str">
        <f t="shared" si="20"/>
        <v>¤</v>
      </c>
      <c r="BJ9" s="78" t="str">
        <f t="shared" si="20"/>
        <v>¤</v>
      </c>
      <c r="BK9" s="78" t="str">
        <f t="shared" si="20"/>
        <v>¤</v>
      </c>
      <c r="BL9" s="78" t="str">
        <f t="shared" si="20"/>
        <v>¤</v>
      </c>
      <c r="BM9" s="78" t="str">
        <f t="shared" si="20"/>
        <v>¤</v>
      </c>
      <c r="BN9" s="78" t="str">
        <f t="shared" si="20"/>
        <v>¤</v>
      </c>
      <c r="BO9" s="78" t="str">
        <f t="shared" si="20"/>
        <v>¤</v>
      </c>
      <c r="BP9" s="78" t="str">
        <f t="shared" si="20"/>
        <v>¤</v>
      </c>
      <c r="BQ9" s="78" t="str">
        <f t="shared" si="20"/>
        <v>¤</v>
      </c>
      <c r="BR9" s="78" t="str">
        <f t="shared" si="20"/>
        <v>¤</v>
      </c>
      <c r="BS9" s="78" t="str">
        <f t="shared" si="20"/>
        <v>¤</v>
      </c>
      <c r="BT9" s="78" t="str">
        <f t="shared" si="20"/>
        <v>¤</v>
      </c>
      <c r="BU9" s="90">
        <f t="shared" si="12"/>
        <v>44</v>
      </c>
      <c r="BV9" s="78"/>
      <c r="BW9" s="112" t="s">
        <v>246</v>
      </c>
      <c r="BX9" s="113" t="s">
        <v>247</v>
      </c>
      <c r="BY9" s="104"/>
      <c r="BZ9" s="78"/>
      <c r="CA9" s="78"/>
      <c r="CB9" s="78"/>
      <c r="CC9" s="78"/>
      <c r="CD9" s="78"/>
    </row>
    <row r="10" ht="9.0" customHeight="1">
      <c r="A10" s="90">
        <f t="shared" si="10"/>
        <v>43</v>
      </c>
      <c r="B10" s="78" t="str">
        <f t="shared" ref="B10:AT10" si="21">CHAR(164)</f>
        <v>¤</v>
      </c>
      <c r="C10" s="78" t="str">
        <f t="shared" si="21"/>
        <v>¤</v>
      </c>
      <c r="D10" s="78" t="str">
        <f t="shared" si="21"/>
        <v>¤</v>
      </c>
      <c r="E10" s="78" t="str">
        <f t="shared" si="21"/>
        <v>¤</v>
      </c>
      <c r="F10" s="78" t="str">
        <f t="shared" si="21"/>
        <v>¤</v>
      </c>
      <c r="G10" s="78" t="str">
        <f t="shared" si="21"/>
        <v>¤</v>
      </c>
      <c r="H10" s="78" t="str">
        <f t="shared" si="21"/>
        <v>¤</v>
      </c>
      <c r="I10" s="78" t="str">
        <f t="shared" si="21"/>
        <v>¤</v>
      </c>
      <c r="J10" s="78" t="str">
        <f t="shared" si="21"/>
        <v>¤</v>
      </c>
      <c r="K10" s="78" t="str">
        <f t="shared" si="21"/>
        <v>¤</v>
      </c>
      <c r="L10" s="78" t="str">
        <f t="shared" si="21"/>
        <v>¤</v>
      </c>
      <c r="M10" s="78" t="str">
        <f t="shared" si="21"/>
        <v>¤</v>
      </c>
      <c r="N10" s="78" t="str">
        <f t="shared" si="21"/>
        <v>¤</v>
      </c>
      <c r="O10" s="78" t="str">
        <f t="shared" si="21"/>
        <v>¤</v>
      </c>
      <c r="P10" s="78" t="str">
        <f t="shared" si="21"/>
        <v>¤</v>
      </c>
      <c r="Q10" s="78" t="str">
        <f t="shared" si="21"/>
        <v>¤</v>
      </c>
      <c r="R10" s="78" t="str">
        <f t="shared" si="21"/>
        <v>¤</v>
      </c>
      <c r="S10" s="78" t="str">
        <f t="shared" si="21"/>
        <v>¤</v>
      </c>
      <c r="T10" s="78" t="str">
        <f t="shared" si="21"/>
        <v>¤</v>
      </c>
      <c r="U10" s="78" t="str">
        <f t="shared" si="21"/>
        <v>¤</v>
      </c>
      <c r="V10" s="78" t="str">
        <f t="shared" si="21"/>
        <v>¤</v>
      </c>
      <c r="W10" s="78" t="str">
        <f t="shared" si="21"/>
        <v>¤</v>
      </c>
      <c r="X10" s="78" t="str">
        <f t="shared" si="21"/>
        <v>¤</v>
      </c>
      <c r="Y10" s="78" t="str">
        <f t="shared" si="21"/>
        <v>¤</v>
      </c>
      <c r="Z10" s="78" t="str">
        <f t="shared" si="21"/>
        <v>¤</v>
      </c>
      <c r="AA10" s="78" t="str">
        <f t="shared" si="21"/>
        <v>¤</v>
      </c>
      <c r="AB10" s="78" t="str">
        <f t="shared" si="21"/>
        <v>¤</v>
      </c>
      <c r="AC10" s="78" t="str">
        <f t="shared" si="21"/>
        <v>¤</v>
      </c>
      <c r="AD10" s="78" t="str">
        <f t="shared" si="21"/>
        <v>¤</v>
      </c>
      <c r="AE10" s="78" t="str">
        <f t="shared" si="21"/>
        <v>¤</v>
      </c>
      <c r="AF10" s="78" t="str">
        <f t="shared" si="21"/>
        <v>¤</v>
      </c>
      <c r="AG10" s="78" t="str">
        <f t="shared" si="21"/>
        <v>¤</v>
      </c>
      <c r="AH10" s="78" t="str">
        <f t="shared" si="21"/>
        <v>¤</v>
      </c>
      <c r="AI10" s="78" t="str">
        <f t="shared" si="21"/>
        <v>¤</v>
      </c>
      <c r="AJ10" s="78" t="str">
        <f t="shared" si="21"/>
        <v>¤</v>
      </c>
      <c r="AK10" s="78" t="str">
        <f t="shared" si="21"/>
        <v>¤</v>
      </c>
      <c r="AL10" s="78" t="str">
        <f t="shared" si="21"/>
        <v>¤</v>
      </c>
      <c r="AM10" s="78" t="str">
        <f t="shared" si="21"/>
        <v>¤</v>
      </c>
      <c r="AN10" s="78" t="str">
        <f t="shared" si="21"/>
        <v>¤</v>
      </c>
      <c r="AO10" s="78" t="str">
        <f t="shared" si="21"/>
        <v>¤</v>
      </c>
      <c r="AP10" s="78" t="str">
        <f t="shared" si="21"/>
        <v>¤</v>
      </c>
      <c r="AQ10" s="78" t="str">
        <f t="shared" si="21"/>
        <v>¤</v>
      </c>
      <c r="AR10" s="78" t="str">
        <f t="shared" si="21"/>
        <v>¤</v>
      </c>
      <c r="AS10" s="78" t="str">
        <f t="shared" si="21"/>
        <v>¤</v>
      </c>
      <c r="AT10" s="78" t="str">
        <f t="shared" si="21"/>
        <v>¤</v>
      </c>
      <c r="AU10" s="102" t="s">
        <v>219</v>
      </c>
      <c r="AV10" s="78" t="str">
        <f t="shared" ref="AV10:BF10" si="22">CHAR(164)</f>
        <v>¤</v>
      </c>
      <c r="AW10" s="78" t="str">
        <f t="shared" si="22"/>
        <v>¤</v>
      </c>
      <c r="AX10" s="78" t="str">
        <f t="shared" si="22"/>
        <v>¤</v>
      </c>
      <c r="AY10" s="78" t="str">
        <f t="shared" si="22"/>
        <v>¤</v>
      </c>
      <c r="AZ10" s="78" t="str">
        <f t="shared" si="22"/>
        <v>¤</v>
      </c>
      <c r="BA10" s="78" t="str">
        <f t="shared" si="22"/>
        <v>¤</v>
      </c>
      <c r="BB10" s="78" t="str">
        <f t="shared" si="22"/>
        <v>¤</v>
      </c>
      <c r="BC10" s="78" t="str">
        <f t="shared" si="22"/>
        <v>¤</v>
      </c>
      <c r="BD10" s="78" t="str">
        <f t="shared" si="22"/>
        <v>¤</v>
      </c>
      <c r="BE10" s="78" t="str">
        <f t="shared" si="22"/>
        <v>¤</v>
      </c>
      <c r="BF10" s="78" t="str">
        <f t="shared" si="22"/>
        <v>¤</v>
      </c>
      <c r="BG10" s="106" t="s">
        <v>237</v>
      </c>
      <c r="BH10" s="78" t="str">
        <f t="shared" ref="BH10:BT10" si="23">CHAR(164)</f>
        <v>¤</v>
      </c>
      <c r="BI10" s="78" t="str">
        <f t="shared" si="23"/>
        <v>¤</v>
      </c>
      <c r="BJ10" s="78" t="str">
        <f t="shared" si="23"/>
        <v>¤</v>
      </c>
      <c r="BK10" s="78" t="str">
        <f t="shared" si="23"/>
        <v>¤</v>
      </c>
      <c r="BL10" s="78" t="str">
        <f t="shared" si="23"/>
        <v>¤</v>
      </c>
      <c r="BM10" s="78" t="str">
        <f t="shared" si="23"/>
        <v>¤</v>
      </c>
      <c r="BN10" s="78" t="str">
        <f t="shared" si="23"/>
        <v>¤</v>
      </c>
      <c r="BO10" s="78" t="str">
        <f t="shared" si="23"/>
        <v>¤</v>
      </c>
      <c r="BP10" s="78" t="str">
        <f t="shared" si="23"/>
        <v>¤</v>
      </c>
      <c r="BQ10" s="78" t="str">
        <f t="shared" si="23"/>
        <v>¤</v>
      </c>
      <c r="BR10" s="78" t="str">
        <f t="shared" si="23"/>
        <v>¤</v>
      </c>
      <c r="BS10" s="78" t="str">
        <f t="shared" si="23"/>
        <v>¤</v>
      </c>
      <c r="BT10" s="78" t="str">
        <f t="shared" si="23"/>
        <v>¤</v>
      </c>
      <c r="BU10" s="90">
        <f t="shared" si="12"/>
        <v>43</v>
      </c>
      <c r="BV10" s="78"/>
      <c r="BW10" s="119" t="s">
        <v>251</v>
      </c>
      <c r="BX10" s="121" t="s">
        <v>253</v>
      </c>
      <c r="BY10" s="104"/>
      <c r="BZ10" s="78"/>
      <c r="CA10" s="78"/>
      <c r="CB10" s="78"/>
      <c r="CC10" s="78"/>
      <c r="CD10" s="78"/>
    </row>
    <row r="11" ht="9.0" customHeight="1">
      <c r="A11" s="90">
        <f t="shared" si="10"/>
        <v>42</v>
      </c>
      <c r="B11" s="78" t="str">
        <f t="shared" ref="B11:AT11" si="24">CHAR(164)</f>
        <v>¤</v>
      </c>
      <c r="C11" s="78" t="str">
        <f t="shared" si="24"/>
        <v>¤</v>
      </c>
      <c r="D11" s="78" t="str">
        <f t="shared" si="24"/>
        <v>¤</v>
      </c>
      <c r="E11" s="78" t="str">
        <f t="shared" si="24"/>
        <v>¤</v>
      </c>
      <c r="F11" s="78" t="str">
        <f t="shared" si="24"/>
        <v>¤</v>
      </c>
      <c r="G11" s="78" t="str">
        <f t="shared" si="24"/>
        <v>¤</v>
      </c>
      <c r="H11" s="78" t="str">
        <f t="shared" si="24"/>
        <v>¤</v>
      </c>
      <c r="I11" s="78" t="str">
        <f t="shared" si="24"/>
        <v>¤</v>
      </c>
      <c r="J11" s="78" t="str">
        <f t="shared" si="24"/>
        <v>¤</v>
      </c>
      <c r="K11" s="78" t="str">
        <f t="shared" si="24"/>
        <v>¤</v>
      </c>
      <c r="L11" s="78" t="str">
        <f t="shared" si="24"/>
        <v>¤</v>
      </c>
      <c r="M11" s="78" t="str">
        <f t="shared" si="24"/>
        <v>¤</v>
      </c>
      <c r="N11" s="78" t="str">
        <f t="shared" si="24"/>
        <v>¤</v>
      </c>
      <c r="O11" s="78" t="str">
        <f t="shared" si="24"/>
        <v>¤</v>
      </c>
      <c r="P11" s="78" t="str">
        <f t="shared" si="24"/>
        <v>¤</v>
      </c>
      <c r="Q11" s="78" t="str">
        <f t="shared" si="24"/>
        <v>¤</v>
      </c>
      <c r="R11" s="78" t="str">
        <f t="shared" si="24"/>
        <v>¤</v>
      </c>
      <c r="S11" s="78" t="str">
        <f t="shared" si="24"/>
        <v>¤</v>
      </c>
      <c r="T11" s="78" t="str">
        <f t="shared" si="24"/>
        <v>¤</v>
      </c>
      <c r="U11" s="78" t="str">
        <f t="shared" si="24"/>
        <v>¤</v>
      </c>
      <c r="V11" s="78" t="str">
        <f t="shared" si="24"/>
        <v>¤</v>
      </c>
      <c r="W11" s="78" t="str">
        <f t="shared" si="24"/>
        <v>¤</v>
      </c>
      <c r="X11" s="78" t="str">
        <f t="shared" si="24"/>
        <v>¤</v>
      </c>
      <c r="Y11" s="78" t="str">
        <f t="shared" si="24"/>
        <v>¤</v>
      </c>
      <c r="Z11" s="78" t="str">
        <f t="shared" si="24"/>
        <v>¤</v>
      </c>
      <c r="AA11" s="78" t="str">
        <f t="shared" si="24"/>
        <v>¤</v>
      </c>
      <c r="AB11" s="78" t="str">
        <f t="shared" si="24"/>
        <v>¤</v>
      </c>
      <c r="AC11" s="78" t="str">
        <f t="shared" si="24"/>
        <v>¤</v>
      </c>
      <c r="AD11" s="78" t="str">
        <f t="shared" si="24"/>
        <v>¤</v>
      </c>
      <c r="AE11" s="78" t="str">
        <f t="shared" si="24"/>
        <v>¤</v>
      </c>
      <c r="AF11" s="78" t="str">
        <f t="shared" si="24"/>
        <v>¤</v>
      </c>
      <c r="AG11" s="78" t="str">
        <f t="shared" si="24"/>
        <v>¤</v>
      </c>
      <c r="AH11" s="78" t="str">
        <f t="shared" si="24"/>
        <v>¤</v>
      </c>
      <c r="AI11" s="78" t="str">
        <f t="shared" si="24"/>
        <v>¤</v>
      </c>
      <c r="AJ11" s="78" t="str">
        <f t="shared" si="24"/>
        <v>¤</v>
      </c>
      <c r="AK11" s="78" t="str">
        <f t="shared" si="24"/>
        <v>¤</v>
      </c>
      <c r="AL11" s="78" t="str">
        <f t="shared" si="24"/>
        <v>¤</v>
      </c>
      <c r="AM11" s="78" t="str">
        <f t="shared" si="24"/>
        <v>¤</v>
      </c>
      <c r="AN11" s="78" t="str">
        <f t="shared" si="24"/>
        <v>¤</v>
      </c>
      <c r="AO11" s="78" t="str">
        <f t="shared" si="24"/>
        <v>¤</v>
      </c>
      <c r="AP11" s="78" t="str">
        <f t="shared" si="24"/>
        <v>¤</v>
      </c>
      <c r="AQ11" s="78" t="str">
        <f t="shared" si="24"/>
        <v>¤</v>
      </c>
      <c r="AR11" s="78" t="str">
        <f t="shared" si="24"/>
        <v>¤</v>
      </c>
      <c r="AS11" s="78" t="str">
        <f t="shared" si="24"/>
        <v>¤</v>
      </c>
      <c r="AT11" s="78" t="str">
        <f t="shared" si="24"/>
        <v>¤</v>
      </c>
      <c r="AU11" s="102" t="s">
        <v>219</v>
      </c>
      <c r="AV11" s="78" t="str">
        <f t="shared" ref="AV11:BF11" si="25">CHAR(164)</f>
        <v>¤</v>
      </c>
      <c r="AW11" s="78" t="str">
        <f t="shared" si="25"/>
        <v>¤</v>
      </c>
      <c r="AX11" s="78" t="str">
        <f t="shared" si="25"/>
        <v>¤</v>
      </c>
      <c r="AY11" s="78" t="str">
        <f t="shared" si="25"/>
        <v>¤</v>
      </c>
      <c r="AZ11" s="78" t="str">
        <f t="shared" si="25"/>
        <v>¤</v>
      </c>
      <c r="BA11" s="78" t="str">
        <f t="shared" si="25"/>
        <v>¤</v>
      </c>
      <c r="BB11" s="78" t="str">
        <f t="shared" si="25"/>
        <v>¤</v>
      </c>
      <c r="BC11" s="78" t="str">
        <f t="shared" si="25"/>
        <v>¤</v>
      </c>
      <c r="BD11" s="78" t="str">
        <f t="shared" si="25"/>
        <v>¤</v>
      </c>
      <c r="BE11" s="78" t="str">
        <f t="shared" si="25"/>
        <v>¤</v>
      </c>
      <c r="BF11" s="78" t="str">
        <f t="shared" si="25"/>
        <v>¤</v>
      </c>
      <c r="BG11" s="106" t="s">
        <v>237</v>
      </c>
      <c r="BH11" s="78" t="str">
        <f t="shared" ref="BH11:BT11" si="26">CHAR(164)</f>
        <v>¤</v>
      </c>
      <c r="BI11" s="78" t="str">
        <f t="shared" si="26"/>
        <v>¤</v>
      </c>
      <c r="BJ11" s="78" t="str">
        <f t="shared" si="26"/>
        <v>¤</v>
      </c>
      <c r="BK11" s="78" t="str">
        <f t="shared" si="26"/>
        <v>¤</v>
      </c>
      <c r="BL11" s="78" t="str">
        <f t="shared" si="26"/>
        <v>¤</v>
      </c>
      <c r="BM11" s="78" t="str">
        <f t="shared" si="26"/>
        <v>¤</v>
      </c>
      <c r="BN11" s="78" t="str">
        <f t="shared" si="26"/>
        <v>¤</v>
      </c>
      <c r="BO11" s="78" t="str">
        <f t="shared" si="26"/>
        <v>¤</v>
      </c>
      <c r="BP11" s="78" t="str">
        <f t="shared" si="26"/>
        <v>¤</v>
      </c>
      <c r="BQ11" s="78" t="str">
        <f t="shared" si="26"/>
        <v>¤</v>
      </c>
      <c r="BR11" s="78" t="str">
        <f t="shared" si="26"/>
        <v>¤</v>
      </c>
      <c r="BS11" s="78" t="str">
        <f t="shared" si="26"/>
        <v>¤</v>
      </c>
      <c r="BT11" s="78" t="str">
        <f t="shared" si="26"/>
        <v>¤</v>
      </c>
      <c r="BU11" s="90">
        <f t="shared" si="12"/>
        <v>42</v>
      </c>
      <c r="BV11" s="78"/>
      <c r="BW11" s="130" t="s">
        <v>259</v>
      </c>
      <c r="BX11" s="131" t="s">
        <v>260</v>
      </c>
      <c r="BY11" s="104"/>
      <c r="BZ11" s="78"/>
      <c r="CA11" s="78"/>
      <c r="CB11" s="78"/>
      <c r="CC11" s="78"/>
      <c r="CD11" s="78"/>
    </row>
    <row r="12" ht="9.0" customHeight="1">
      <c r="A12" s="90">
        <f t="shared" si="10"/>
        <v>41</v>
      </c>
      <c r="B12" s="78" t="str">
        <f t="shared" ref="B12:AT12" si="27">CHAR(164)</f>
        <v>¤</v>
      </c>
      <c r="C12" s="78" t="str">
        <f t="shared" si="27"/>
        <v>¤</v>
      </c>
      <c r="D12" s="78" t="str">
        <f t="shared" si="27"/>
        <v>¤</v>
      </c>
      <c r="E12" s="78" t="str">
        <f t="shared" si="27"/>
        <v>¤</v>
      </c>
      <c r="F12" s="78" t="str">
        <f t="shared" si="27"/>
        <v>¤</v>
      </c>
      <c r="G12" s="78" t="str">
        <f t="shared" si="27"/>
        <v>¤</v>
      </c>
      <c r="H12" s="78" t="str">
        <f t="shared" si="27"/>
        <v>¤</v>
      </c>
      <c r="I12" s="78" t="str">
        <f t="shared" si="27"/>
        <v>¤</v>
      </c>
      <c r="J12" s="78" t="str">
        <f t="shared" si="27"/>
        <v>¤</v>
      </c>
      <c r="K12" s="78" t="str">
        <f t="shared" si="27"/>
        <v>¤</v>
      </c>
      <c r="L12" s="78" t="str">
        <f t="shared" si="27"/>
        <v>¤</v>
      </c>
      <c r="M12" s="78" t="str">
        <f t="shared" si="27"/>
        <v>¤</v>
      </c>
      <c r="N12" s="78" t="str">
        <f t="shared" si="27"/>
        <v>¤</v>
      </c>
      <c r="O12" s="78" t="str">
        <f t="shared" si="27"/>
        <v>¤</v>
      </c>
      <c r="P12" s="78" t="str">
        <f t="shared" si="27"/>
        <v>¤</v>
      </c>
      <c r="Q12" s="78" t="str">
        <f t="shared" si="27"/>
        <v>¤</v>
      </c>
      <c r="R12" s="78" t="str">
        <f t="shared" si="27"/>
        <v>¤</v>
      </c>
      <c r="S12" s="78" t="str">
        <f t="shared" si="27"/>
        <v>¤</v>
      </c>
      <c r="T12" s="78" t="str">
        <f t="shared" si="27"/>
        <v>¤</v>
      </c>
      <c r="U12" s="78" t="str">
        <f t="shared" si="27"/>
        <v>¤</v>
      </c>
      <c r="V12" s="78" t="str">
        <f t="shared" si="27"/>
        <v>¤</v>
      </c>
      <c r="W12" s="78" t="str">
        <f t="shared" si="27"/>
        <v>¤</v>
      </c>
      <c r="X12" s="78" t="str">
        <f t="shared" si="27"/>
        <v>¤</v>
      </c>
      <c r="Y12" s="78" t="str">
        <f t="shared" si="27"/>
        <v>¤</v>
      </c>
      <c r="Z12" s="78" t="str">
        <f t="shared" si="27"/>
        <v>¤</v>
      </c>
      <c r="AA12" s="78" t="str">
        <f t="shared" si="27"/>
        <v>¤</v>
      </c>
      <c r="AB12" s="78" t="str">
        <f t="shared" si="27"/>
        <v>¤</v>
      </c>
      <c r="AC12" s="78" t="str">
        <f t="shared" si="27"/>
        <v>¤</v>
      </c>
      <c r="AD12" s="78" t="str">
        <f t="shared" si="27"/>
        <v>¤</v>
      </c>
      <c r="AE12" s="78" t="str">
        <f t="shared" si="27"/>
        <v>¤</v>
      </c>
      <c r="AF12" s="78" t="str">
        <f t="shared" si="27"/>
        <v>¤</v>
      </c>
      <c r="AG12" s="78" t="str">
        <f t="shared" si="27"/>
        <v>¤</v>
      </c>
      <c r="AH12" s="78" t="str">
        <f t="shared" si="27"/>
        <v>¤</v>
      </c>
      <c r="AI12" s="78" t="str">
        <f t="shared" si="27"/>
        <v>¤</v>
      </c>
      <c r="AJ12" s="78" t="str">
        <f t="shared" si="27"/>
        <v>¤</v>
      </c>
      <c r="AK12" s="78" t="str">
        <f t="shared" si="27"/>
        <v>¤</v>
      </c>
      <c r="AL12" s="78" t="str">
        <f t="shared" si="27"/>
        <v>¤</v>
      </c>
      <c r="AM12" s="78" t="str">
        <f t="shared" si="27"/>
        <v>¤</v>
      </c>
      <c r="AN12" s="78" t="str">
        <f t="shared" si="27"/>
        <v>¤</v>
      </c>
      <c r="AO12" s="78" t="str">
        <f t="shared" si="27"/>
        <v>¤</v>
      </c>
      <c r="AP12" s="78" t="str">
        <f t="shared" si="27"/>
        <v>¤</v>
      </c>
      <c r="AQ12" s="78" t="str">
        <f t="shared" si="27"/>
        <v>¤</v>
      </c>
      <c r="AR12" s="78" t="str">
        <f t="shared" si="27"/>
        <v>¤</v>
      </c>
      <c r="AS12" s="78" t="str">
        <f t="shared" si="27"/>
        <v>¤</v>
      </c>
      <c r="AT12" s="78" t="str">
        <f t="shared" si="27"/>
        <v>¤</v>
      </c>
      <c r="AU12" s="102" t="s">
        <v>219</v>
      </c>
      <c r="AV12" s="78" t="str">
        <f t="shared" ref="AV12:BF12" si="28">CHAR(164)</f>
        <v>¤</v>
      </c>
      <c r="AW12" s="78" t="str">
        <f t="shared" si="28"/>
        <v>¤</v>
      </c>
      <c r="AX12" s="78" t="str">
        <f t="shared" si="28"/>
        <v>¤</v>
      </c>
      <c r="AY12" s="78" t="str">
        <f t="shared" si="28"/>
        <v>¤</v>
      </c>
      <c r="AZ12" s="78" t="str">
        <f t="shared" si="28"/>
        <v>¤</v>
      </c>
      <c r="BA12" s="78" t="str">
        <f t="shared" si="28"/>
        <v>¤</v>
      </c>
      <c r="BB12" s="78" t="str">
        <f t="shared" si="28"/>
        <v>¤</v>
      </c>
      <c r="BC12" s="78" t="str">
        <f t="shared" si="28"/>
        <v>¤</v>
      </c>
      <c r="BD12" s="78" t="str">
        <f t="shared" si="28"/>
        <v>¤</v>
      </c>
      <c r="BE12" s="78" t="str">
        <f t="shared" si="28"/>
        <v>¤</v>
      </c>
      <c r="BF12" s="78" t="str">
        <f t="shared" si="28"/>
        <v>¤</v>
      </c>
      <c r="BG12" s="106" t="s">
        <v>237</v>
      </c>
      <c r="BH12" s="78" t="str">
        <f t="shared" ref="BH12:BT12" si="29">CHAR(164)</f>
        <v>¤</v>
      </c>
      <c r="BI12" s="78" t="str">
        <f t="shared" si="29"/>
        <v>¤</v>
      </c>
      <c r="BJ12" s="78" t="str">
        <f t="shared" si="29"/>
        <v>¤</v>
      </c>
      <c r="BK12" s="78" t="str">
        <f t="shared" si="29"/>
        <v>¤</v>
      </c>
      <c r="BL12" s="78" t="str">
        <f t="shared" si="29"/>
        <v>¤</v>
      </c>
      <c r="BM12" s="78" t="str">
        <f t="shared" si="29"/>
        <v>¤</v>
      </c>
      <c r="BN12" s="78" t="str">
        <f t="shared" si="29"/>
        <v>¤</v>
      </c>
      <c r="BO12" s="78" t="str">
        <f t="shared" si="29"/>
        <v>¤</v>
      </c>
      <c r="BP12" s="78" t="str">
        <f t="shared" si="29"/>
        <v>¤</v>
      </c>
      <c r="BQ12" s="78" t="str">
        <f t="shared" si="29"/>
        <v>¤</v>
      </c>
      <c r="BR12" s="78" t="str">
        <f t="shared" si="29"/>
        <v>¤</v>
      </c>
      <c r="BS12" s="78" t="str">
        <f t="shared" si="29"/>
        <v>¤</v>
      </c>
      <c r="BT12" s="78" t="str">
        <f t="shared" si="29"/>
        <v>¤</v>
      </c>
      <c r="BU12" s="90">
        <f t="shared" si="12"/>
        <v>41</v>
      </c>
      <c r="BV12" s="78"/>
      <c r="BW12" s="143" t="s">
        <v>262</v>
      </c>
      <c r="BX12" s="144" t="s">
        <v>263</v>
      </c>
      <c r="BY12" s="104"/>
      <c r="BZ12" s="78"/>
      <c r="CA12" s="78"/>
      <c r="CB12" s="78"/>
      <c r="CC12" s="78"/>
      <c r="CD12" s="78"/>
    </row>
    <row r="13" ht="9.0" customHeight="1">
      <c r="A13" s="90">
        <f t="shared" si="10"/>
        <v>40</v>
      </c>
      <c r="B13" s="78" t="str">
        <f t="shared" ref="B13:P13" si="30">CHAR(164)</f>
        <v>¤</v>
      </c>
      <c r="C13" s="78" t="str">
        <f t="shared" si="30"/>
        <v>¤</v>
      </c>
      <c r="D13" s="78" t="str">
        <f t="shared" si="30"/>
        <v>¤</v>
      </c>
      <c r="E13" s="78" t="str">
        <f t="shared" si="30"/>
        <v>¤</v>
      </c>
      <c r="F13" s="78" t="str">
        <f t="shared" si="30"/>
        <v>¤</v>
      </c>
      <c r="G13" s="78" t="str">
        <f t="shared" si="30"/>
        <v>¤</v>
      </c>
      <c r="H13" s="78" t="str">
        <f t="shared" si="30"/>
        <v>¤</v>
      </c>
      <c r="I13" s="78" t="str">
        <f t="shared" si="30"/>
        <v>¤</v>
      </c>
      <c r="J13" s="78" t="str">
        <f t="shared" si="30"/>
        <v>¤</v>
      </c>
      <c r="K13" s="78" t="str">
        <f t="shared" si="30"/>
        <v>¤</v>
      </c>
      <c r="L13" s="78" t="str">
        <f t="shared" si="30"/>
        <v>¤</v>
      </c>
      <c r="M13" s="78" t="str">
        <f t="shared" si="30"/>
        <v>¤</v>
      </c>
      <c r="N13" s="78" t="str">
        <f t="shared" si="30"/>
        <v>¤</v>
      </c>
      <c r="O13" s="78" t="str">
        <f t="shared" si="30"/>
        <v>¤</v>
      </c>
      <c r="P13" s="78" t="str">
        <f t="shared" si="30"/>
        <v>¤</v>
      </c>
      <c r="Q13" s="130" t="s">
        <v>259</v>
      </c>
      <c r="R13" s="130" t="s">
        <v>259</v>
      </c>
      <c r="S13" s="130" t="s">
        <v>259</v>
      </c>
      <c r="T13" s="130" t="s">
        <v>259</v>
      </c>
      <c r="U13" s="130" t="s">
        <v>259</v>
      </c>
      <c r="V13" s="130" t="s">
        <v>259</v>
      </c>
      <c r="W13" s="130" t="s">
        <v>259</v>
      </c>
      <c r="X13" s="130" t="s">
        <v>259</v>
      </c>
      <c r="Y13" s="130" t="s">
        <v>259</v>
      </c>
      <c r="Z13" s="130" t="s">
        <v>259</v>
      </c>
      <c r="AA13" s="130" t="s">
        <v>259</v>
      </c>
      <c r="AB13" s="130" t="s">
        <v>259</v>
      </c>
      <c r="AC13" s="130" t="s">
        <v>259</v>
      </c>
      <c r="AD13" s="78" t="str">
        <f t="shared" ref="AD13:AE13" si="31">CHAR(164)</f>
        <v>¤</v>
      </c>
      <c r="AE13" s="78" t="str">
        <f t="shared" si="31"/>
        <v>¤</v>
      </c>
      <c r="AF13" s="149" t="s">
        <v>264</v>
      </c>
      <c r="AG13" s="78" t="str">
        <f t="shared" ref="AG13:AT13" si="32">CHAR(164)</f>
        <v>¤</v>
      </c>
      <c r="AH13" s="78" t="str">
        <f t="shared" si="32"/>
        <v>¤</v>
      </c>
      <c r="AI13" s="78" t="str">
        <f t="shared" si="32"/>
        <v>¤</v>
      </c>
      <c r="AJ13" s="78" t="str">
        <f t="shared" si="32"/>
        <v>¤</v>
      </c>
      <c r="AK13" s="78" t="str">
        <f t="shared" si="32"/>
        <v>¤</v>
      </c>
      <c r="AL13" s="78" t="str">
        <f t="shared" si="32"/>
        <v>¤</v>
      </c>
      <c r="AM13" s="78" t="str">
        <f t="shared" si="32"/>
        <v>¤</v>
      </c>
      <c r="AN13" s="78" t="str">
        <f t="shared" si="32"/>
        <v>¤</v>
      </c>
      <c r="AO13" s="78" t="str">
        <f t="shared" si="32"/>
        <v>¤</v>
      </c>
      <c r="AP13" s="78" t="str">
        <f t="shared" si="32"/>
        <v>¤</v>
      </c>
      <c r="AQ13" s="78" t="str">
        <f t="shared" si="32"/>
        <v>¤</v>
      </c>
      <c r="AR13" s="78" t="str">
        <f t="shared" si="32"/>
        <v>¤</v>
      </c>
      <c r="AS13" s="78" t="str">
        <f t="shared" si="32"/>
        <v>¤</v>
      </c>
      <c r="AT13" s="78" t="str">
        <f t="shared" si="32"/>
        <v>¤</v>
      </c>
      <c r="AU13" s="102" t="s">
        <v>219</v>
      </c>
      <c r="AV13" s="78" t="str">
        <f t="shared" ref="AV13:BF13" si="33">CHAR(164)</f>
        <v>¤</v>
      </c>
      <c r="AW13" s="78" t="str">
        <f t="shared" si="33"/>
        <v>¤</v>
      </c>
      <c r="AX13" s="78" t="str">
        <f t="shared" si="33"/>
        <v>¤</v>
      </c>
      <c r="AY13" s="78" t="str">
        <f t="shared" si="33"/>
        <v>¤</v>
      </c>
      <c r="AZ13" s="78" t="str">
        <f t="shared" si="33"/>
        <v>¤</v>
      </c>
      <c r="BA13" s="78" t="str">
        <f t="shared" si="33"/>
        <v>¤</v>
      </c>
      <c r="BB13" s="78" t="str">
        <f t="shared" si="33"/>
        <v>¤</v>
      </c>
      <c r="BC13" s="78" t="str">
        <f t="shared" si="33"/>
        <v>¤</v>
      </c>
      <c r="BD13" s="78" t="str">
        <f t="shared" si="33"/>
        <v>¤</v>
      </c>
      <c r="BE13" s="78" t="str">
        <f t="shared" si="33"/>
        <v>¤</v>
      </c>
      <c r="BF13" s="78" t="str">
        <f t="shared" si="33"/>
        <v>¤</v>
      </c>
      <c r="BG13" s="106" t="s">
        <v>237</v>
      </c>
      <c r="BH13" s="78" t="str">
        <f t="shared" ref="BH13:BT13" si="34">CHAR(164)</f>
        <v>¤</v>
      </c>
      <c r="BI13" s="78" t="str">
        <f t="shared" si="34"/>
        <v>¤</v>
      </c>
      <c r="BJ13" s="78" t="str">
        <f t="shared" si="34"/>
        <v>¤</v>
      </c>
      <c r="BK13" s="78" t="str">
        <f t="shared" si="34"/>
        <v>¤</v>
      </c>
      <c r="BL13" s="78" t="str">
        <f t="shared" si="34"/>
        <v>¤</v>
      </c>
      <c r="BM13" s="78" t="str">
        <f t="shared" si="34"/>
        <v>¤</v>
      </c>
      <c r="BN13" s="78" t="str">
        <f t="shared" si="34"/>
        <v>¤</v>
      </c>
      <c r="BO13" s="78" t="str">
        <f t="shared" si="34"/>
        <v>¤</v>
      </c>
      <c r="BP13" s="78" t="str">
        <f t="shared" si="34"/>
        <v>¤</v>
      </c>
      <c r="BQ13" s="78" t="str">
        <f t="shared" si="34"/>
        <v>¤</v>
      </c>
      <c r="BR13" s="78" t="str">
        <f t="shared" si="34"/>
        <v>¤</v>
      </c>
      <c r="BS13" s="78" t="str">
        <f t="shared" si="34"/>
        <v>¤</v>
      </c>
      <c r="BT13" s="78" t="str">
        <f t="shared" si="34"/>
        <v>¤</v>
      </c>
      <c r="BU13" s="90">
        <f t="shared" si="12"/>
        <v>40</v>
      </c>
      <c r="BV13" s="78"/>
      <c r="BW13" s="156" t="s">
        <v>265</v>
      </c>
      <c r="BX13" s="157" t="s">
        <v>266</v>
      </c>
      <c r="BY13" s="104"/>
      <c r="BZ13" s="78"/>
      <c r="CA13" s="78"/>
      <c r="CB13" s="78"/>
      <c r="CC13" s="78"/>
      <c r="CD13" s="78"/>
    </row>
    <row r="14" ht="9.0" customHeight="1">
      <c r="A14" s="90">
        <f t="shared" si="10"/>
        <v>39</v>
      </c>
      <c r="B14" s="78" t="str">
        <f t="shared" ref="B14:AE14" si="35">CHAR(164)</f>
        <v>¤</v>
      </c>
      <c r="C14" s="78" t="str">
        <f t="shared" si="35"/>
        <v>¤</v>
      </c>
      <c r="D14" s="78" t="str">
        <f t="shared" si="35"/>
        <v>¤</v>
      </c>
      <c r="E14" s="78" t="str">
        <f t="shared" si="35"/>
        <v>¤</v>
      </c>
      <c r="F14" s="78" t="str">
        <f t="shared" si="35"/>
        <v>¤</v>
      </c>
      <c r="G14" s="78" t="str">
        <f t="shared" si="35"/>
        <v>¤</v>
      </c>
      <c r="H14" s="78" t="str">
        <f t="shared" si="35"/>
        <v>¤</v>
      </c>
      <c r="I14" s="78" t="str">
        <f t="shared" si="35"/>
        <v>¤</v>
      </c>
      <c r="J14" s="78" t="str">
        <f t="shared" si="35"/>
        <v>¤</v>
      </c>
      <c r="K14" s="78" t="str">
        <f t="shared" si="35"/>
        <v>¤</v>
      </c>
      <c r="L14" s="78" t="str">
        <f t="shared" si="35"/>
        <v>¤</v>
      </c>
      <c r="M14" s="78" t="str">
        <f t="shared" si="35"/>
        <v>¤</v>
      </c>
      <c r="N14" s="78" t="str">
        <f t="shared" si="35"/>
        <v>¤</v>
      </c>
      <c r="O14" s="78" t="str">
        <f t="shared" si="35"/>
        <v>¤</v>
      </c>
      <c r="P14" s="78" t="str">
        <f t="shared" si="35"/>
        <v>¤</v>
      </c>
      <c r="Q14" s="78" t="str">
        <f t="shared" si="35"/>
        <v>¤</v>
      </c>
      <c r="R14" s="78" t="str">
        <f t="shared" si="35"/>
        <v>¤</v>
      </c>
      <c r="S14" s="78" t="str">
        <f t="shared" si="35"/>
        <v>¤</v>
      </c>
      <c r="T14" s="78" t="str">
        <f t="shared" si="35"/>
        <v>¤</v>
      </c>
      <c r="U14" s="78" t="str">
        <f t="shared" si="35"/>
        <v>¤</v>
      </c>
      <c r="V14" s="78" t="str">
        <f t="shared" si="35"/>
        <v>¤</v>
      </c>
      <c r="W14" s="78" t="str">
        <f t="shared" si="35"/>
        <v>¤</v>
      </c>
      <c r="X14" s="78" t="str">
        <f t="shared" si="35"/>
        <v>¤</v>
      </c>
      <c r="Y14" s="78" t="str">
        <f t="shared" si="35"/>
        <v>¤</v>
      </c>
      <c r="Z14" s="78" t="str">
        <f t="shared" si="35"/>
        <v>¤</v>
      </c>
      <c r="AA14" s="78" t="str">
        <f t="shared" si="35"/>
        <v>¤</v>
      </c>
      <c r="AB14" s="78" t="str">
        <f t="shared" si="35"/>
        <v>¤</v>
      </c>
      <c r="AC14" s="78" t="str">
        <f t="shared" si="35"/>
        <v>¤</v>
      </c>
      <c r="AD14" s="78" t="str">
        <f t="shared" si="35"/>
        <v>¤</v>
      </c>
      <c r="AE14" s="78" t="str">
        <f t="shared" si="35"/>
        <v>¤</v>
      </c>
      <c r="AF14" s="149" t="s">
        <v>264</v>
      </c>
      <c r="AG14" s="78" t="str">
        <f t="shared" ref="AG14:BF14" si="36">CHAR(164)</f>
        <v>¤</v>
      </c>
      <c r="AH14" s="78" t="str">
        <f t="shared" si="36"/>
        <v>¤</v>
      </c>
      <c r="AI14" s="78" t="str">
        <f t="shared" si="36"/>
        <v>¤</v>
      </c>
      <c r="AJ14" s="78" t="str">
        <f t="shared" si="36"/>
        <v>¤</v>
      </c>
      <c r="AK14" s="78" t="str">
        <f t="shared" si="36"/>
        <v>¤</v>
      </c>
      <c r="AL14" s="78" t="str">
        <f t="shared" si="36"/>
        <v>¤</v>
      </c>
      <c r="AM14" s="78" t="str">
        <f t="shared" si="36"/>
        <v>¤</v>
      </c>
      <c r="AN14" s="78" t="str">
        <f t="shared" si="36"/>
        <v>¤</v>
      </c>
      <c r="AO14" s="78" t="str">
        <f t="shared" si="36"/>
        <v>¤</v>
      </c>
      <c r="AP14" s="78" t="str">
        <f t="shared" si="36"/>
        <v>¤</v>
      </c>
      <c r="AQ14" s="78" t="str">
        <f t="shared" si="36"/>
        <v>¤</v>
      </c>
      <c r="AR14" s="78" t="str">
        <f t="shared" si="36"/>
        <v>¤</v>
      </c>
      <c r="AS14" s="78" t="str">
        <f t="shared" si="36"/>
        <v>¤</v>
      </c>
      <c r="AT14" s="78" t="str">
        <f t="shared" si="36"/>
        <v>¤</v>
      </c>
      <c r="AU14" s="78" t="str">
        <f t="shared" si="36"/>
        <v>¤</v>
      </c>
      <c r="AV14" s="78" t="str">
        <f t="shared" si="36"/>
        <v>¤</v>
      </c>
      <c r="AW14" s="78" t="str">
        <f t="shared" si="36"/>
        <v>¤</v>
      </c>
      <c r="AX14" s="78" t="str">
        <f t="shared" si="36"/>
        <v>¤</v>
      </c>
      <c r="AY14" s="78" t="str">
        <f t="shared" si="36"/>
        <v>¤</v>
      </c>
      <c r="AZ14" s="78" t="str">
        <f t="shared" si="36"/>
        <v>¤</v>
      </c>
      <c r="BA14" s="78" t="str">
        <f t="shared" si="36"/>
        <v>¤</v>
      </c>
      <c r="BB14" s="78" t="str">
        <f t="shared" si="36"/>
        <v>¤</v>
      </c>
      <c r="BC14" s="78" t="str">
        <f t="shared" si="36"/>
        <v>¤</v>
      </c>
      <c r="BD14" s="78" t="str">
        <f t="shared" si="36"/>
        <v>¤</v>
      </c>
      <c r="BE14" s="78" t="str">
        <f t="shared" si="36"/>
        <v>¤</v>
      </c>
      <c r="BF14" s="78" t="str">
        <f t="shared" si="36"/>
        <v>¤</v>
      </c>
      <c r="BG14" s="106" t="s">
        <v>237</v>
      </c>
      <c r="BH14" s="78" t="str">
        <f t="shared" ref="BH14:BT14" si="37">CHAR(164)</f>
        <v>¤</v>
      </c>
      <c r="BI14" s="78" t="str">
        <f t="shared" si="37"/>
        <v>¤</v>
      </c>
      <c r="BJ14" s="78" t="str">
        <f t="shared" si="37"/>
        <v>¤</v>
      </c>
      <c r="BK14" s="78" t="str">
        <f t="shared" si="37"/>
        <v>¤</v>
      </c>
      <c r="BL14" s="78" t="str">
        <f t="shared" si="37"/>
        <v>¤</v>
      </c>
      <c r="BM14" s="78" t="str">
        <f t="shared" si="37"/>
        <v>¤</v>
      </c>
      <c r="BN14" s="78" t="str">
        <f t="shared" si="37"/>
        <v>¤</v>
      </c>
      <c r="BO14" s="78" t="str">
        <f t="shared" si="37"/>
        <v>¤</v>
      </c>
      <c r="BP14" s="78" t="str">
        <f t="shared" si="37"/>
        <v>¤</v>
      </c>
      <c r="BQ14" s="78" t="str">
        <f t="shared" si="37"/>
        <v>¤</v>
      </c>
      <c r="BR14" s="78" t="str">
        <f t="shared" si="37"/>
        <v>¤</v>
      </c>
      <c r="BS14" s="78" t="str">
        <f t="shared" si="37"/>
        <v>¤</v>
      </c>
      <c r="BT14" s="78" t="str">
        <f t="shared" si="37"/>
        <v>¤</v>
      </c>
      <c r="BU14" s="90">
        <f t="shared" si="12"/>
        <v>39</v>
      </c>
      <c r="BV14" s="78"/>
      <c r="BW14" s="106" t="s">
        <v>237</v>
      </c>
      <c r="BX14" s="162" t="s">
        <v>267</v>
      </c>
      <c r="BY14" s="104"/>
      <c r="BZ14" s="78"/>
      <c r="CA14" s="78"/>
      <c r="CB14" s="78"/>
      <c r="CC14" s="78"/>
      <c r="CD14" s="78"/>
    </row>
    <row r="15" ht="9.0" customHeight="1">
      <c r="A15" s="90">
        <f t="shared" si="10"/>
        <v>38</v>
      </c>
      <c r="B15" s="78" t="str">
        <f t="shared" ref="B15:M15" si="38">CHAR(164)</f>
        <v>¤</v>
      </c>
      <c r="C15" s="78" t="str">
        <f t="shared" si="38"/>
        <v>¤</v>
      </c>
      <c r="D15" s="78" t="str">
        <f t="shared" si="38"/>
        <v>¤</v>
      </c>
      <c r="E15" s="78" t="str">
        <f t="shared" si="38"/>
        <v>¤</v>
      </c>
      <c r="F15" s="78" t="str">
        <f t="shared" si="38"/>
        <v>¤</v>
      </c>
      <c r="G15" s="78" t="str">
        <f t="shared" si="38"/>
        <v>¤</v>
      </c>
      <c r="H15" s="78" t="str">
        <f t="shared" si="38"/>
        <v>¤</v>
      </c>
      <c r="I15" s="78" t="str">
        <f t="shared" si="38"/>
        <v>¤</v>
      </c>
      <c r="J15" s="78" t="str">
        <f t="shared" si="38"/>
        <v>¤</v>
      </c>
      <c r="K15" s="78" t="str">
        <f t="shared" si="38"/>
        <v>¤</v>
      </c>
      <c r="L15" s="78" t="str">
        <f t="shared" si="38"/>
        <v>¤</v>
      </c>
      <c r="M15" s="78" t="str">
        <f t="shared" si="38"/>
        <v>¤</v>
      </c>
      <c r="N15" s="163" t="s">
        <v>268</v>
      </c>
      <c r="O15" s="78" t="str">
        <f t="shared" ref="O15:AE15" si="39">CHAR(164)</f>
        <v>¤</v>
      </c>
      <c r="P15" s="78" t="str">
        <f t="shared" si="39"/>
        <v>¤</v>
      </c>
      <c r="Q15" s="78" t="str">
        <f t="shared" si="39"/>
        <v>¤</v>
      </c>
      <c r="R15" s="78" t="str">
        <f t="shared" si="39"/>
        <v>¤</v>
      </c>
      <c r="S15" s="78" t="str">
        <f t="shared" si="39"/>
        <v>¤</v>
      </c>
      <c r="T15" s="78" t="str">
        <f t="shared" si="39"/>
        <v>¤</v>
      </c>
      <c r="U15" s="78" t="str">
        <f t="shared" si="39"/>
        <v>¤</v>
      </c>
      <c r="V15" s="78" t="str">
        <f t="shared" si="39"/>
        <v>¤</v>
      </c>
      <c r="W15" s="78" t="str">
        <f t="shared" si="39"/>
        <v>¤</v>
      </c>
      <c r="X15" s="78" t="str">
        <f t="shared" si="39"/>
        <v>¤</v>
      </c>
      <c r="Y15" s="78" t="str">
        <f t="shared" si="39"/>
        <v>¤</v>
      </c>
      <c r="Z15" s="78" t="str">
        <f t="shared" si="39"/>
        <v>¤</v>
      </c>
      <c r="AA15" s="78" t="str">
        <f t="shared" si="39"/>
        <v>¤</v>
      </c>
      <c r="AB15" s="78" t="str">
        <f t="shared" si="39"/>
        <v>¤</v>
      </c>
      <c r="AC15" s="78" t="str">
        <f t="shared" si="39"/>
        <v>¤</v>
      </c>
      <c r="AD15" s="78" t="str">
        <f t="shared" si="39"/>
        <v>¤</v>
      </c>
      <c r="AE15" s="78" t="str">
        <f t="shared" si="39"/>
        <v>¤</v>
      </c>
      <c r="AF15" s="149" t="s">
        <v>264</v>
      </c>
      <c r="AG15" s="78" t="str">
        <f t="shared" ref="AG15:BF15" si="40">CHAR(164)</f>
        <v>¤</v>
      </c>
      <c r="AH15" s="78" t="str">
        <f t="shared" si="40"/>
        <v>¤</v>
      </c>
      <c r="AI15" s="78" t="str">
        <f t="shared" si="40"/>
        <v>¤</v>
      </c>
      <c r="AJ15" s="78" t="str">
        <f t="shared" si="40"/>
        <v>¤</v>
      </c>
      <c r="AK15" s="78" t="str">
        <f t="shared" si="40"/>
        <v>¤</v>
      </c>
      <c r="AL15" s="78" t="str">
        <f t="shared" si="40"/>
        <v>¤</v>
      </c>
      <c r="AM15" s="78" t="str">
        <f t="shared" si="40"/>
        <v>¤</v>
      </c>
      <c r="AN15" s="78" t="str">
        <f t="shared" si="40"/>
        <v>¤</v>
      </c>
      <c r="AO15" s="78" t="str">
        <f t="shared" si="40"/>
        <v>¤</v>
      </c>
      <c r="AP15" s="78" t="str">
        <f t="shared" si="40"/>
        <v>¤</v>
      </c>
      <c r="AQ15" s="78" t="str">
        <f t="shared" si="40"/>
        <v>¤</v>
      </c>
      <c r="AR15" s="78" t="str">
        <f t="shared" si="40"/>
        <v>¤</v>
      </c>
      <c r="AS15" s="78" t="str">
        <f t="shared" si="40"/>
        <v>¤</v>
      </c>
      <c r="AT15" s="78" t="str">
        <f t="shared" si="40"/>
        <v>¤</v>
      </c>
      <c r="AU15" s="78" t="str">
        <f t="shared" si="40"/>
        <v>¤</v>
      </c>
      <c r="AV15" s="78" t="str">
        <f t="shared" si="40"/>
        <v>¤</v>
      </c>
      <c r="AW15" s="78" t="str">
        <f t="shared" si="40"/>
        <v>¤</v>
      </c>
      <c r="AX15" s="78" t="str">
        <f t="shared" si="40"/>
        <v>¤</v>
      </c>
      <c r="AY15" s="78" t="str">
        <f t="shared" si="40"/>
        <v>¤</v>
      </c>
      <c r="AZ15" s="78" t="str">
        <f t="shared" si="40"/>
        <v>¤</v>
      </c>
      <c r="BA15" s="78" t="str">
        <f t="shared" si="40"/>
        <v>¤</v>
      </c>
      <c r="BB15" s="78" t="str">
        <f t="shared" si="40"/>
        <v>¤</v>
      </c>
      <c r="BC15" s="78" t="str">
        <f t="shared" si="40"/>
        <v>¤</v>
      </c>
      <c r="BD15" s="78" t="str">
        <f t="shared" si="40"/>
        <v>¤</v>
      </c>
      <c r="BE15" s="78" t="str">
        <f t="shared" si="40"/>
        <v>¤</v>
      </c>
      <c r="BF15" s="78" t="str">
        <f t="shared" si="40"/>
        <v>¤</v>
      </c>
      <c r="BG15" s="106" t="s">
        <v>237</v>
      </c>
      <c r="BH15" s="78" t="str">
        <f t="shared" ref="BH15:BT15" si="41">CHAR(164)</f>
        <v>¤</v>
      </c>
      <c r="BI15" s="78" t="str">
        <f t="shared" si="41"/>
        <v>¤</v>
      </c>
      <c r="BJ15" s="78" t="str">
        <f t="shared" si="41"/>
        <v>¤</v>
      </c>
      <c r="BK15" s="78" t="str">
        <f t="shared" si="41"/>
        <v>¤</v>
      </c>
      <c r="BL15" s="78" t="str">
        <f t="shared" si="41"/>
        <v>¤</v>
      </c>
      <c r="BM15" s="78" t="str">
        <f t="shared" si="41"/>
        <v>¤</v>
      </c>
      <c r="BN15" s="78" t="str">
        <f t="shared" si="41"/>
        <v>¤</v>
      </c>
      <c r="BO15" s="78" t="str">
        <f t="shared" si="41"/>
        <v>¤</v>
      </c>
      <c r="BP15" s="78" t="str">
        <f t="shared" si="41"/>
        <v>¤</v>
      </c>
      <c r="BQ15" s="78" t="str">
        <f t="shared" si="41"/>
        <v>¤</v>
      </c>
      <c r="BR15" s="78" t="str">
        <f t="shared" si="41"/>
        <v>¤</v>
      </c>
      <c r="BS15" s="78" t="str">
        <f t="shared" si="41"/>
        <v>¤</v>
      </c>
      <c r="BT15" s="78" t="str">
        <f t="shared" si="41"/>
        <v>¤</v>
      </c>
      <c r="BU15" s="90">
        <f t="shared" si="12"/>
        <v>38</v>
      </c>
      <c r="BV15" s="78"/>
      <c r="BW15" s="149" t="s">
        <v>264</v>
      </c>
      <c r="BX15" s="166" t="s">
        <v>269</v>
      </c>
      <c r="BY15" s="104"/>
      <c r="BZ15" s="78"/>
      <c r="CA15" s="78"/>
      <c r="CB15" s="78"/>
      <c r="CC15" s="78"/>
      <c r="CD15" s="78"/>
    </row>
    <row r="16" ht="9.0" customHeight="1">
      <c r="A16" s="90">
        <f t="shared" si="10"/>
        <v>37</v>
      </c>
      <c r="B16" s="78" t="str">
        <f t="shared" ref="B16:AE16" si="42">CHAR(164)</f>
        <v>¤</v>
      </c>
      <c r="C16" s="78" t="str">
        <f t="shared" si="42"/>
        <v>¤</v>
      </c>
      <c r="D16" s="78" t="str">
        <f t="shared" si="42"/>
        <v>¤</v>
      </c>
      <c r="E16" s="78" t="str">
        <f t="shared" si="42"/>
        <v>¤</v>
      </c>
      <c r="F16" s="78" t="str">
        <f t="shared" si="42"/>
        <v>¤</v>
      </c>
      <c r="G16" s="78" t="str">
        <f t="shared" si="42"/>
        <v>¤</v>
      </c>
      <c r="H16" s="78" t="str">
        <f t="shared" si="42"/>
        <v>¤</v>
      </c>
      <c r="I16" s="78" t="str">
        <f t="shared" si="42"/>
        <v>¤</v>
      </c>
      <c r="J16" s="78" t="str">
        <f t="shared" si="42"/>
        <v>¤</v>
      </c>
      <c r="K16" s="78" t="str">
        <f t="shared" si="42"/>
        <v>¤</v>
      </c>
      <c r="L16" s="78" t="str">
        <f t="shared" si="42"/>
        <v>¤</v>
      </c>
      <c r="M16" s="78" t="str">
        <f t="shared" si="42"/>
        <v>¤</v>
      </c>
      <c r="N16" s="78" t="str">
        <f t="shared" si="42"/>
        <v>¤</v>
      </c>
      <c r="O16" s="78" t="str">
        <f t="shared" si="42"/>
        <v>¤</v>
      </c>
      <c r="P16" s="78" t="str">
        <f t="shared" si="42"/>
        <v>¤</v>
      </c>
      <c r="Q16" s="78" t="str">
        <f t="shared" si="42"/>
        <v>¤</v>
      </c>
      <c r="R16" s="78" t="str">
        <f t="shared" si="42"/>
        <v>¤</v>
      </c>
      <c r="S16" s="78" t="str">
        <f t="shared" si="42"/>
        <v>¤</v>
      </c>
      <c r="T16" s="78" t="str">
        <f t="shared" si="42"/>
        <v>¤</v>
      </c>
      <c r="U16" s="78" t="str">
        <f t="shared" si="42"/>
        <v>¤</v>
      </c>
      <c r="V16" s="78" t="str">
        <f t="shared" si="42"/>
        <v>¤</v>
      </c>
      <c r="W16" s="78" t="str">
        <f t="shared" si="42"/>
        <v>¤</v>
      </c>
      <c r="X16" s="78" t="str">
        <f t="shared" si="42"/>
        <v>¤</v>
      </c>
      <c r="Y16" s="78" t="str">
        <f t="shared" si="42"/>
        <v>¤</v>
      </c>
      <c r="Z16" s="78" t="str">
        <f t="shared" si="42"/>
        <v>¤</v>
      </c>
      <c r="AA16" s="78" t="str">
        <f t="shared" si="42"/>
        <v>¤</v>
      </c>
      <c r="AB16" s="78" t="str">
        <f t="shared" si="42"/>
        <v>¤</v>
      </c>
      <c r="AC16" s="78" t="str">
        <f t="shared" si="42"/>
        <v>¤</v>
      </c>
      <c r="AD16" s="78" t="str">
        <f t="shared" si="42"/>
        <v>¤</v>
      </c>
      <c r="AE16" s="78" t="str">
        <f t="shared" si="42"/>
        <v>¤</v>
      </c>
      <c r="AF16" s="149" t="s">
        <v>264</v>
      </c>
      <c r="AG16" s="78" t="str">
        <f t="shared" ref="AG16:BF16" si="43">CHAR(164)</f>
        <v>¤</v>
      </c>
      <c r="AH16" s="78" t="str">
        <f t="shared" si="43"/>
        <v>¤</v>
      </c>
      <c r="AI16" s="78" t="str">
        <f t="shared" si="43"/>
        <v>¤</v>
      </c>
      <c r="AJ16" s="78" t="str">
        <f t="shared" si="43"/>
        <v>¤</v>
      </c>
      <c r="AK16" s="78" t="str">
        <f t="shared" si="43"/>
        <v>¤</v>
      </c>
      <c r="AL16" s="78" t="str">
        <f t="shared" si="43"/>
        <v>¤</v>
      </c>
      <c r="AM16" s="78" t="str">
        <f t="shared" si="43"/>
        <v>¤</v>
      </c>
      <c r="AN16" s="78" t="str">
        <f t="shared" si="43"/>
        <v>¤</v>
      </c>
      <c r="AO16" s="78" t="str">
        <f t="shared" si="43"/>
        <v>¤</v>
      </c>
      <c r="AP16" s="78" t="str">
        <f t="shared" si="43"/>
        <v>¤</v>
      </c>
      <c r="AQ16" s="78" t="str">
        <f t="shared" si="43"/>
        <v>¤</v>
      </c>
      <c r="AR16" s="78" t="str">
        <f t="shared" si="43"/>
        <v>¤</v>
      </c>
      <c r="AS16" s="78" t="str">
        <f t="shared" si="43"/>
        <v>¤</v>
      </c>
      <c r="AT16" s="78" t="str">
        <f t="shared" si="43"/>
        <v>¤</v>
      </c>
      <c r="AU16" s="78" t="str">
        <f t="shared" si="43"/>
        <v>¤</v>
      </c>
      <c r="AV16" s="78" t="str">
        <f t="shared" si="43"/>
        <v>¤</v>
      </c>
      <c r="AW16" s="78" t="str">
        <f t="shared" si="43"/>
        <v>¤</v>
      </c>
      <c r="AX16" s="78" t="str">
        <f t="shared" si="43"/>
        <v>¤</v>
      </c>
      <c r="AY16" s="78" t="str">
        <f t="shared" si="43"/>
        <v>¤</v>
      </c>
      <c r="AZ16" s="78" t="str">
        <f t="shared" si="43"/>
        <v>¤</v>
      </c>
      <c r="BA16" s="78" t="str">
        <f t="shared" si="43"/>
        <v>¤</v>
      </c>
      <c r="BB16" s="78" t="str">
        <f t="shared" si="43"/>
        <v>¤</v>
      </c>
      <c r="BC16" s="78" t="str">
        <f t="shared" si="43"/>
        <v>¤</v>
      </c>
      <c r="BD16" s="78" t="str">
        <f t="shared" si="43"/>
        <v>¤</v>
      </c>
      <c r="BE16" s="78" t="str">
        <f t="shared" si="43"/>
        <v>¤</v>
      </c>
      <c r="BF16" s="78" t="str">
        <f t="shared" si="43"/>
        <v>¤</v>
      </c>
      <c r="BG16" s="106" t="s">
        <v>237</v>
      </c>
      <c r="BH16" s="78" t="str">
        <f t="shared" ref="BH16:BP16" si="44">CHAR(164)</f>
        <v>¤</v>
      </c>
      <c r="BI16" s="78" t="str">
        <f t="shared" si="44"/>
        <v>¤</v>
      </c>
      <c r="BJ16" s="78" t="str">
        <f t="shared" si="44"/>
        <v>¤</v>
      </c>
      <c r="BK16" s="78" t="str">
        <f t="shared" si="44"/>
        <v>¤</v>
      </c>
      <c r="BL16" s="78" t="str">
        <f t="shared" si="44"/>
        <v>¤</v>
      </c>
      <c r="BM16" s="78" t="str">
        <f t="shared" si="44"/>
        <v>¤</v>
      </c>
      <c r="BN16" s="78" t="str">
        <f t="shared" si="44"/>
        <v>¤</v>
      </c>
      <c r="BO16" s="78" t="str">
        <f t="shared" si="44"/>
        <v>¤</v>
      </c>
      <c r="BP16" s="78" t="str">
        <f t="shared" si="44"/>
        <v>¤</v>
      </c>
      <c r="BQ16" s="168" t="s">
        <v>271</v>
      </c>
      <c r="BR16" s="78" t="str">
        <f t="shared" ref="BR16:BT16" si="45">CHAR(164)</f>
        <v>¤</v>
      </c>
      <c r="BS16" s="78" t="str">
        <f t="shared" si="45"/>
        <v>¤</v>
      </c>
      <c r="BT16" s="78" t="str">
        <f t="shared" si="45"/>
        <v>¤</v>
      </c>
      <c r="BU16" s="90">
        <f t="shared" si="12"/>
        <v>37</v>
      </c>
      <c r="BV16" s="78"/>
      <c r="BW16" s="169" t="s">
        <v>272</v>
      </c>
      <c r="BX16" s="170" t="s">
        <v>273</v>
      </c>
      <c r="BY16" s="104"/>
      <c r="BZ16" s="78"/>
      <c r="CA16" s="78"/>
      <c r="CB16" s="78"/>
      <c r="CC16" s="78"/>
      <c r="CD16" s="78"/>
    </row>
    <row r="17" ht="9.0" customHeight="1">
      <c r="A17" s="90">
        <f t="shared" si="10"/>
        <v>36</v>
      </c>
      <c r="B17" s="78" t="str">
        <f t="shared" ref="B17:AE17" si="46">CHAR(164)</f>
        <v>¤</v>
      </c>
      <c r="C17" s="78" t="str">
        <f t="shared" si="46"/>
        <v>¤</v>
      </c>
      <c r="D17" s="78" t="str">
        <f t="shared" si="46"/>
        <v>¤</v>
      </c>
      <c r="E17" s="78" t="str">
        <f t="shared" si="46"/>
        <v>¤</v>
      </c>
      <c r="F17" s="78" t="str">
        <f t="shared" si="46"/>
        <v>¤</v>
      </c>
      <c r="G17" s="78" t="str">
        <f t="shared" si="46"/>
        <v>¤</v>
      </c>
      <c r="H17" s="78" t="str">
        <f t="shared" si="46"/>
        <v>¤</v>
      </c>
      <c r="I17" s="78" t="str">
        <f t="shared" si="46"/>
        <v>¤</v>
      </c>
      <c r="J17" s="78" t="str">
        <f t="shared" si="46"/>
        <v>¤</v>
      </c>
      <c r="K17" s="78" t="str">
        <f t="shared" si="46"/>
        <v>¤</v>
      </c>
      <c r="L17" s="78" t="str">
        <f t="shared" si="46"/>
        <v>¤</v>
      </c>
      <c r="M17" s="78" t="str">
        <f t="shared" si="46"/>
        <v>¤</v>
      </c>
      <c r="N17" s="78" t="str">
        <f t="shared" si="46"/>
        <v>¤</v>
      </c>
      <c r="O17" s="78" t="str">
        <f t="shared" si="46"/>
        <v>¤</v>
      </c>
      <c r="P17" s="78" t="str">
        <f t="shared" si="46"/>
        <v>¤</v>
      </c>
      <c r="Q17" s="78" t="str">
        <f t="shared" si="46"/>
        <v>¤</v>
      </c>
      <c r="R17" s="78" t="str">
        <f t="shared" si="46"/>
        <v>¤</v>
      </c>
      <c r="S17" s="78" t="str">
        <f t="shared" si="46"/>
        <v>¤</v>
      </c>
      <c r="T17" s="78" t="str">
        <f t="shared" si="46"/>
        <v>¤</v>
      </c>
      <c r="U17" s="78" t="str">
        <f t="shared" si="46"/>
        <v>¤</v>
      </c>
      <c r="V17" s="78" t="str">
        <f t="shared" si="46"/>
        <v>¤</v>
      </c>
      <c r="W17" s="78" t="str">
        <f t="shared" si="46"/>
        <v>¤</v>
      </c>
      <c r="X17" s="78" t="str">
        <f t="shared" si="46"/>
        <v>¤</v>
      </c>
      <c r="Y17" s="78" t="str">
        <f t="shared" si="46"/>
        <v>¤</v>
      </c>
      <c r="Z17" s="78" t="str">
        <f t="shared" si="46"/>
        <v>¤</v>
      </c>
      <c r="AA17" s="78" t="str">
        <f t="shared" si="46"/>
        <v>¤</v>
      </c>
      <c r="AB17" s="78" t="str">
        <f t="shared" si="46"/>
        <v>¤</v>
      </c>
      <c r="AC17" s="78" t="str">
        <f t="shared" si="46"/>
        <v>¤</v>
      </c>
      <c r="AD17" s="78" t="str">
        <f t="shared" si="46"/>
        <v>¤</v>
      </c>
      <c r="AE17" s="78" t="str">
        <f t="shared" si="46"/>
        <v>¤</v>
      </c>
      <c r="AF17" s="149" t="s">
        <v>264</v>
      </c>
      <c r="AG17" s="78" t="str">
        <f t="shared" ref="AG17:BF17" si="47">CHAR(164)</f>
        <v>¤</v>
      </c>
      <c r="AH17" s="78" t="str">
        <f t="shared" si="47"/>
        <v>¤</v>
      </c>
      <c r="AI17" s="78" t="str">
        <f t="shared" si="47"/>
        <v>¤</v>
      </c>
      <c r="AJ17" s="78" t="str">
        <f t="shared" si="47"/>
        <v>¤</v>
      </c>
      <c r="AK17" s="78" t="str">
        <f t="shared" si="47"/>
        <v>¤</v>
      </c>
      <c r="AL17" s="78" t="str">
        <f t="shared" si="47"/>
        <v>¤</v>
      </c>
      <c r="AM17" s="78" t="str">
        <f t="shared" si="47"/>
        <v>¤</v>
      </c>
      <c r="AN17" s="78" t="str">
        <f t="shared" si="47"/>
        <v>¤</v>
      </c>
      <c r="AO17" s="78" t="str">
        <f t="shared" si="47"/>
        <v>¤</v>
      </c>
      <c r="AP17" s="78" t="str">
        <f t="shared" si="47"/>
        <v>¤</v>
      </c>
      <c r="AQ17" s="78" t="str">
        <f t="shared" si="47"/>
        <v>¤</v>
      </c>
      <c r="AR17" s="78" t="str">
        <f t="shared" si="47"/>
        <v>¤</v>
      </c>
      <c r="AS17" s="78" t="str">
        <f t="shared" si="47"/>
        <v>¤</v>
      </c>
      <c r="AT17" s="78" t="str">
        <f t="shared" si="47"/>
        <v>¤</v>
      </c>
      <c r="AU17" s="78" t="str">
        <f t="shared" si="47"/>
        <v>¤</v>
      </c>
      <c r="AV17" s="78" t="str">
        <f t="shared" si="47"/>
        <v>¤</v>
      </c>
      <c r="AW17" s="78" t="str">
        <f t="shared" si="47"/>
        <v>¤</v>
      </c>
      <c r="AX17" s="78" t="str">
        <f t="shared" si="47"/>
        <v>¤</v>
      </c>
      <c r="AY17" s="78" t="str">
        <f t="shared" si="47"/>
        <v>¤</v>
      </c>
      <c r="AZ17" s="78" t="str">
        <f t="shared" si="47"/>
        <v>¤</v>
      </c>
      <c r="BA17" s="78" t="str">
        <f t="shared" si="47"/>
        <v>¤</v>
      </c>
      <c r="BB17" s="78" t="str">
        <f t="shared" si="47"/>
        <v>¤</v>
      </c>
      <c r="BC17" s="78" t="str">
        <f t="shared" si="47"/>
        <v>¤</v>
      </c>
      <c r="BD17" s="78" t="str">
        <f t="shared" si="47"/>
        <v>¤</v>
      </c>
      <c r="BE17" s="78" t="str">
        <f t="shared" si="47"/>
        <v>¤</v>
      </c>
      <c r="BF17" s="78" t="str">
        <f t="shared" si="47"/>
        <v>¤</v>
      </c>
      <c r="BG17" s="106" t="s">
        <v>237</v>
      </c>
      <c r="BH17" s="78" t="str">
        <f t="shared" ref="BH17:BP17" si="48">CHAR(164)</f>
        <v>¤</v>
      </c>
      <c r="BI17" s="78" t="str">
        <f t="shared" si="48"/>
        <v>¤</v>
      </c>
      <c r="BJ17" s="78" t="str">
        <f t="shared" si="48"/>
        <v>¤</v>
      </c>
      <c r="BK17" s="78" t="str">
        <f t="shared" si="48"/>
        <v>¤</v>
      </c>
      <c r="BL17" s="78" t="str">
        <f t="shared" si="48"/>
        <v>¤</v>
      </c>
      <c r="BM17" s="78" t="str">
        <f t="shared" si="48"/>
        <v>¤</v>
      </c>
      <c r="BN17" s="78" t="str">
        <f t="shared" si="48"/>
        <v>¤</v>
      </c>
      <c r="BO17" s="78" t="str">
        <f t="shared" si="48"/>
        <v>¤</v>
      </c>
      <c r="BP17" s="78" t="str">
        <f t="shared" si="48"/>
        <v>¤</v>
      </c>
      <c r="BQ17" s="168" t="s">
        <v>271</v>
      </c>
      <c r="BR17" s="78" t="str">
        <f t="shared" ref="BR17:BT17" si="49">CHAR(164)</f>
        <v>¤</v>
      </c>
      <c r="BS17" s="78" t="str">
        <f t="shared" si="49"/>
        <v>¤</v>
      </c>
      <c r="BT17" s="78" t="str">
        <f t="shared" si="49"/>
        <v>¤</v>
      </c>
      <c r="BU17" s="90">
        <f t="shared" si="12"/>
        <v>36</v>
      </c>
      <c r="BV17" s="78"/>
      <c r="BW17" s="172" t="s">
        <v>274</v>
      </c>
      <c r="BX17" s="173" t="s">
        <v>275</v>
      </c>
      <c r="BY17" s="104"/>
      <c r="BZ17" s="78"/>
      <c r="CA17" s="78"/>
      <c r="CB17" s="78"/>
      <c r="CC17" s="78"/>
      <c r="CD17" s="78"/>
    </row>
    <row r="18" ht="9.0" customHeight="1">
      <c r="A18" s="90">
        <f t="shared" si="10"/>
        <v>35</v>
      </c>
      <c r="B18" s="78" t="str">
        <f t="shared" ref="B18:F18" si="50">CHAR(164)</f>
        <v>¤</v>
      </c>
      <c r="C18" s="78" t="str">
        <f t="shared" si="50"/>
        <v>¤</v>
      </c>
      <c r="D18" s="78" t="str">
        <f t="shared" si="50"/>
        <v>¤</v>
      </c>
      <c r="E18" s="78" t="str">
        <f t="shared" si="50"/>
        <v>¤</v>
      </c>
      <c r="F18" s="78" t="str">
        <f t="shared" si="50"/>
        <v>¤</v>
      </c>
      <c r="G18" s="112" t="s">
        <v>246</v>
      </c>
      <c r="H18" s="78" t="str">
        <f t="shared" ref="H18:U18" si="51">CHAR(164)</f>
        <v>¤</v>
      </c>
      <c r="I18" s="78" t="str">
        <f t="shared" si="51"/>
        <v>¤</v>
      </c>
      <c r="J18" s="78" t="str">
        <f t="shared" si="51"/>
        <v>¤</v>
      </c>
      <c r="K18" s="78" t="str">
        <f t="shared" si="51"/>
        <v>¤</v>
      </c>
      <c r="L18" s="78" t="str">
        <f t="shared" si="51"/>
        <v>¤</v>
      </c>
      <c r="M18" s="78" t="str">
        <f t="shared" si="51"/>
        <v>¤</v>
      </c>
      <c r="N18" s="78" t="str">
        <f t="shared" si="51"/>
        <v>¤</v>
      </c>
      <c r="O18" s="78" t="str">
        <f t="shared" si="51"/>
        <v>¤</v>
      </c>
      <c r="P18" s="78" t="str">
        <f t="shared" si="51"/>
        <v>¤</v>
      </c>
      <c r="Q18" s="78" t="str">
        <f t="shared" si="51"/>
        <v>¤</v>
      </c>
      <c r="R18" s="78" t="str">
        <f t="shared" si="51"/>
        <v>¤</v>
      </c>
      <c r="S18" s="78" t="str">
        <f t="shared" si="51"/>
        <v>¤</v>
      </c>
      <c r="T18" s="78" t="str">
        <f t="shared" si="51"/>
        <v>¤</v>
      </c>
      <c r="U18" s="78" t="str">
        <f t="shared" si="51"/>
        <v>¤</v>
      </c>
      <c r="V18" s="149" t="s">
        <v>264</v>
      </c>
      <c r="W18" s="149" t="s">
        <v>264</v>
      </c>
      <c r="X18" s="149" t="s">
        <v>264</v>
      </c>
      <c r="Y18" s="149" t="s">
        <v>264</v>
      </c>
      <c r="Z18" s="149" t="s">
        <v>264</v>
      </c>
      <c r="AA18" s="149" t="s">
        <v>264</v>
      </c>
      <c r="AB18" s="149" t="s">
        <v>264</v>
      </c>
      <c r="AC18" s="149" t="s">
        <v>264</v>
      </c>
      <c r="AD18" s="149" t="s">
        <v>264</v>
      </c>
      <c r="AE18" s="149" t="s">
        <v>264</v>
      </c>
      <c r="AF18" s="149" t="s">
        <v>264</v>
      </c>
      <c r="AG18" s="78" t="str">
        <f t="shared" ref="AG18:AO18" si="52">CHAR(164)</f>
        <v>¤</v>
      </c>
      <c r="AH18" s="78" t="str">
        <f t="shared" si="52"/>
        <v>¤</v>
      </c>
      <c r="AI18" s="78" t="str">
        <f t="shared" si="52"/>
        <v>¤</v>
      </c>
      <c r="AJ18" s="78" t="str">
        <f t="shared" si="52"/>
        <v>¤</v>
      </c>
      <c r="AK18" s="78" t="str">
        <f t="shared" si="52"/>
        <v>¤</v>
      </c>
      <c r="AL18" s="78" t="str">
        <f t="shared" si="52"/>
        <v>¤</v>
      </c>
      <c r="AM18" s="78" t="str">
        <f t="shared" si="52"/>
        <v>¤</v>
      </c>
      <c r="AN18" s="78" t="str">
        <f t="shared" si="52"/>
        <v>¤</v>
      </c>
      <c r="AO18" s="78" t="str">
        <f t="shared" si="52"/>
        <v>¤</v>
      </c>
      <c r="AP18" s="109" t="s">
        <v>241</v>
      </c>
      <c r="AQ18" s="78" t="str">
        <f t="shared" ref="AQ18:BF18" si="53">CHAR(164)</f>
        <v>¤</v>
      </c>
      <c r="AR18" s="78" t="str">
        <f t="shared" si="53"/>
        <v>¤</v>
      </c>
      <c r="AS18" s="78" t="str">
        <f t="shared" si="53"/>
        <v>¤</v>
      </c>
      <c r="AT18" s="78" t="str">
        <f t="shared" si="53"/>
        <v>¤</v>
      </c>
      <c r="AU18" s="78" t="str">
        <f t="shared" si="53"/>
        <v>¤</v>
      </c>
      <c r="AV18" s="78" t="str">
        <f t="shared" si="53"/>
        <v>¤</v>
      </c>
      <c r="AW18" s="78" t="str">
        <f t="shared" si="53"/>
        <v>¤</v>
      </c>
      <c r="AX18" s="78" t="str">
        <f t="shared" si="53"/>
        <v>¤</v>
      </c>
      <c r="AY18" s="78" t="str">
        <f t="shared" si="53"/>
        <v>¤</v>
      </c>
      <c r="AZ18" s="78" t="str">
        <f t="shared" si="53"/>
        <v>¤</v>
      </c>
      <c r="BA18" s="78" t="str">
        <f t="shared" si="53"/>
        <v>¤</v>
      </c>
      <c r="BB18" s="78" t="str">
        <f t="shared" si="53"/>
        <v>¤</v>
      </c>
      <c r="BC18" s="78" t="str">
        <f t="shared" si="53"/>
        <v>¤</v>
      </c>
      <c r="BD18" s="78" t="str">
        <f t="shared" si="53"/>
        <v>¤</v>
      </c>
      <c r="BE18" s="78" t="str">
        <f t="shared" si="53"/>
        <v>¤</v>
      </c>
      <c r="BF18" s="78" t="str">
        <f t="shared" si="53"/>
        <v>¤</v>
      </c>
      <c r="BG18" s="106" t="s">
        <v>237</v>
      </c>
      <c r="BH18" s="78" t="str">
        <f t="shared" ref="BH18:BP18" si="54">CHAR(164)</f>
        <v>¤</v>
      </c>
      <c r="BI18" s="78" t="str">
        <f t="shared" si="54"/>
        <v>¤</v>
      </c>
      <c r="BJ18" s="78" t="str">
        <f t="shared" si="54"/>
        <v>¤</v>
      </c>
      <c r="BK18" s="78" t="str">
        <f t="shared" si="54"/>
        <v>¤</v>
      </c>
      <c r="BL18" s="78" t="str">
        <f t="shared" si="54"/>
        <v>¤</v>
      </c>
      <c r="BM18" s="78" t="str">
        <f t="shared" si="54"/>
        <v>¤</v>
      </c>
      <c r="BN18" s="78" t="str">
        <f t="shared" si="54"/>
        <v>¤</v>
      </c>
      <c r="BO18" s="78" t="str">
        <f t="shared" si="54"/>
        <v>¤</v>
      </c>
      <c r="BP18" s="78" t="str">
        <f t="shared" si="54"/>
        <v>¤</v>
      </c>
      <c r="BQ18" s="168" t="s">
        <v>271</v>
      </c>
      <c r="BR18" s="78" t="str">
        <f t="shared" ref="BR18:BT18" si="55">CHAR(164)</f>
        <v>¤</v>
      </c>
      <c r="BS18" s="78" t="str">
        <f t="shared" si="55"/>
        <v>¤</v>
      </c>
      <c r="BT18" s="78" t="str">
        <f t="shared" si="55"/>
        <v>¤</v>
      </c>
      <c r="BU18" s="90">
        <f t="shared" si="12"/>
        <v>35</v>
      </c>
      <c r="BV18" s="78"/>
      <c r="BW18" s="181" t="s">
        <v>276</v>
      </c>
      <c r="BX18" s="182" t="s">
        <v>277</v>
      </c>
      <c r="BY18" s="104"/>
      <c r="BZ18" s="78"/>
      <c r="CA18" s="78"/>
      <c r="CB18" s="78"/>
      <c r="CC18" s="78"/>
      <c r="CD18" s="78"/>
    </row>
    <row r="19" ht="9.0" customHeight="1">
      <c r="A19" s="90">
        <f t="shared" si="10"/>
        <v>34</v>
      </c>
      <c r="B19" s="78" t="str">
        <f t="shared" ref="B19:F19" si="56">CHAR(164)</f>
        <v>¤</v>
      </c>
      <c r="C19" s="78" t="str">
        <f t="shared" si="56"/>
        <v>¤</v>
      </c>
      <c r="D19" s="78" t="str">
        <f t="shared" si="56"/>
        <v>¤</v>
      </c>
      <c r="E19" s="78" t="str">
        <f t="shared" si="56"/>
        <v>¤</v>
      </c>
      <c r="F19" s="78" t="str">
        <f t="shared" si="56"/>
        <v>¤</v>
      </c>
      <c r="G19" s="112" t="s">
        <v>246</v>
      </c>
      <c r="H19" s="78" t="str">
        <f t="shared" ref="H19:U19" si="57">CHAR(164)</f>
        <v>¤</v>
      </c>
      <c r="I19" s="78" t="str">
        <f t="shared" si="57"/>
        <v>¤</v>
      </c>
      <c r="J19" s="78" t="str">
        <f t="shared" si="57"/>
        <v>¤</v>
      </c>
      <c r="K19" s="78" t="str">
        <f t="shared" si="57"/>
        <v>¤</v>
      </c>
      <c r="L19" s="78" t="str">
        <f t="shared" si="57"/>
        <v>¤</v>
      </c>
      <c r="M19" s="78" t="str">
        <f t="shared" si="57"/>
        <v>¤</v>
      </c>
      <c r="N19" s="78" t="str">
        <f t="shared" si="57"/>
        <v>¤</v>
      </c>
      <c r="O19" s="78" t="str">
        <f t="shared" si="57"/>
        <v>¤</v>
      </c>
      <c r="P19" s="78" t="str">
        <f t="shared" si="57"/>
        <v>¤</v>
      </c>
      <c r="Q19" s="78" t="str">
        <f t="shared" si="57"/>
        <v>¤</v>
      </c>
      <c r="R19" s="78" t="str">
        <f t="shared" si="57"/>
        <v>¤</v>
      </c>
      <c r="S19" s="78" t="str">
        <f t="shared" si="57"/>
        <v>¤</v>
      </c>
      <c r="T19" s="78" t="str">
        <f t="shared" si="57"/>
        <v>¤</v>
      </c>
      <c r="U19" s="78" t="str">
        <f t="shared" si="57"/>
        <v>¤</v>
      </c>
      <c r="V19" s="149" t="s">
        <v>264</v>
      </c>
      <c r="W19" s="78" t="str">
        <f t="shared" ref="W19:AO19" si="58">CHAR(164)</f>
        <v>¤</v>
      </c>
      <c r="X19" s="78" t="str">
        <f t="shared" si="58"/>
        <v>¤</v>
      </c>
      <c r="Y19" s="78" t="str">
        <f t="shared" si="58"/>
        <v>¤</v>
      </c>
      <c r="Z19" s="78" t="str">
        <f t="shared" si="58"/>
        <v>¤</v>
      </c>
      <c r="AA19" s="78" t="str">
        <f t="shared" si="58"/>
        <v>¤</v>
      </c>
      <c r="AB19" s="78" t="str">
        <f t="shared" si="58"/>
        <v>¤</v>
      </c>
      <c r="AC19" s="78" t="str">
        <f t="shared" si="58"/>
        <v>¤</v>
      </c>
      <c r="AD19" s="78" t="str">
        <f t="shared" si="58"/>
        <v>¤</v>
      </c>
      <c r="AE19" s="78" t="str">
        <f t="shared" si="58"/>
        <v>¤</v>
      </c>
      <c r="AF19" s="78" t="str">
        <f t="shared" si="58"/>
        <v>¤</v>
      </c>
      <c r="AG19" s="78" t="str">
        <f t="shared" si="58"/>
        <v>¤</v>
      </c>
      <c r="AH19" s="78" t="str">
        <f t="shared" si="58"/>
        <v>¤</v>
      </c>
      <c r="AI19" s="78" t="str">
        <f t="shared" si="58"/>
        <v>¤</v>
      </c>
      <c r="AJ19" s="78" t="str">
        <f t="shared" si="58"/>
        <v>¤</v>
      </c>
      <c r="AK19" s="78" t="str">
        <f t="shared" si="58"/>
        <v>¤</v>
      </c>
      <c r="AL19" s="78" t="str">
        <f t="shared" si="58"/>
        <v>¤</v>
      </c>
      <c r="AM19" s="78" t="str">
        <f t="shared" si="58"/>
        <v>¤</v>
      </c>
      <c r="AN19" s="78" t="str">
        <f t="shared" si="58"/>
        <v>¤</v>
      </c>
      <c r="AO19" s="78" t="str">
        <f t="shared" si="58"/>
        <v>¤</v>
      </c>
      <c r="AP19" s="109" t="s">
        <v>241</v>
      </c>
      <c r="AQ19" s="78" t="str">
        <f t="shared" ref="AQ19:BF19" si="59">CHAR(164)</f>
        <v>¤</v>
      </c>
      <c r="AR19" s="78" t="str">
        <f t="shared" si="59"/>
        <v>¤</v>
      </c>
      <c r="AS19" s="78" t="str">
        <f t="shared" si="59"/>
        <v>¤</v>
      </c>
      <c r="AT19" s="78" t="str">
        <f t="shared" si="59"/>
        <v>¤</v>
      </c>
      <c r="AU19" s="78" t="str">
        <f t="shared" si="59"/>
        <v>¤</v>
      </c>
      <c r="AV19" s="78" t="str">
        <f t="shared" si="59"/>
        <v>¤</v>
      </c>
      <c r="AW19" s="78" t="str">
        <f t="shared" si="59"/>
        <v>¤</v>
      </c>
      <c r="AX19" s="78" t="str">
        <f t="shared" si="59"/>
        <v>¤</v>
      </c>
      <c r="AY19" s="78" t="str">
        <f t="shared" si="59"/>
        <v>¤</v>
      </c>
      <c r="AZ19" s="78" t="str">
        <f t="shared" si="59"/>
        <v>¤</v>
      </c>
      <c r="BA19" s="78" t="str">
        <f t="shared" si="59"/>
        <v>¤</v>
      </c>
      <c r="BB19" s="78" t="str">
        <f t="shared" si="59"/>
        <v>¤</v>
      </c>
      <c r="BC19" s="78" t="str">
        <f t="shared" si="59"/>
        <v>¤</v>
      </c>
      <c r="BD19" s="78" t="str">
        <f t="shared" si="59"/>
        <v>¤</v>
      </c>
      <c r="BE19" s="78" t="str">
        <f t="shared" si="59"/>
        <v>¤</v>
      </c>
      <c r="BF19" s="78" t="str">
        <f t="shared" si="59"/>
        <v>¤</v>
      </c>
      <c r="BG19" s="106" t="s">
        <v>237</v>
      </c>
      <c r="BH19" s="78" t="str">
        <f t="shared" ref="BH19:BP19" si="60">CHAR(164)</f>
        <v>¤</v>
      </c>
      <c r="BI19" s="78" t="str">
        <f t="shared" si="60"/>
        <v>¤</v>
      </c>
      <c r="BJ19" s="78" t="str">
        <f t="shared" si="60"/>
        <v>¤</v>
      </c>
      <c r="BK19" s="78" t="str">
        <f t="shared" si="60"/>
        <v>¤</v>
      </c>
      <c r="BL19" s="78" t="str">
        <f t="shared" si="60"/>
        <v>¤</v>
      </c>
      <c r="BM19" s="78" t="str">
        <f t="shared" si="60"/>
        <v>¤</v>
      </c>
      <c r="BN19" s="78" t="str">
        <f t="shared" si="60"/>
        <v>¤</v>
      </c>
      <c r="BO19" s="78" t="str">
        <f t="shared" si="60"/>
        <v>¤</v>
      </c>
      <c r="BP19" s="78" t="str">
        <f t="shared" si="60"/>
        <v>¤</v>
      </c>
      <c r="BQ19" s="168" t="s">
        <v>271</v>
      </c>
      <c r="BR19" s="78" t="str">
        <f t="shared" ref="BR19:BT19" si="61">CHAR(164)</f>
        <v>¤</v>
      </c>
      <c r="BS19" s="78" t="str">
        <f t="shared" si="61"/>
        <v>¤</v>
      </c>
      <c r="BT19" s="78" t="str">
        <f t="shared" si="61"/>
        <v>¤</v>
      </c>
      <c r="BU19" s="90">
        <f t="shared" si="12"/>
        <v>34</v>
      </c>
      <c r="BV19" s="78"/>
      <c r="BW19" s="168" t="s">
        <v>271</v>
      </c>
      <c r="BX19" s="183" t="s">
        <v>278</v>
      </c>
      <c r="BY19" s="104"/>
      <c r="BZ19" s="78"/>
      <c r="CA19" s="78"/>
      <c r="CB19" s="78"/>
      <c r="CC19" s="78"/>
      <c r="CD19" s="78"/>
    </row>
    <row r="20" ht="9.0" customHeight="1">
      <c r="A20" s="90">
        <f t="shared" si="10"/>
        <v>33</v>
      </c>
      <c r="B20" s="78" t="str">
        <f t="shared" ref="B20:F20" si="62">CHAR(164)</f>
        <v>¤</v>
      </c>
      <c r="C20" s="78" t="str">
        <f t="shared" si="62"/>
        <v>¤</v>
      </c>
      <c r="D20" s="78" t="str">
        <f t="shared" si="62"/>
        <v>¤</v>
      </c>
      <c r="E20" s="78" t="str">
        <f t="shared" si="62"/>
        <v>¤</v>
      </c>
      <c r="F20" s="78" t="str">
        <f t="shared" si="62"/>
        <v>¤</v>
      </c>
      <c r="G20" s="112" t="s">
        <v>246</v>
      </c>
      <c r="H20" s="78" t="str">
        <f t="shared" ref="H20:U20" si="63">CHAR(164)</f>
        <v>¤</v>
      </c>
      <c r="I20" s="78" t="str">
        <f t="shared" si="63"/>
        <v>¤</v>
      </c>
      <c r="J20" s="78" t="str">
        <f t="shared" si="63"/>
        <v>¤</v>
      </c>
      <c r="K20" s="78" t="str">
        <f t="shared" si="63"/>
        <v>¤</v>
      </c>
      <c r="L20" s="78" t="str">
        <f t="shared" si="63"/>
        <v>¤</v>
      </c>
      <c r="M20" s="78" t="str">
        <f t="shared" si="63"/>
        <v>¤</v>
      </c>
      <c r="N20" s="78" t="str">
        <f t="shared" si="63"/>
        <v>¤</v>
      </c>
      <c r="O20" s="78" t="str">
        <f t="shared" si="63"/>
        <v>¤</v>
      </c>
      <c r="P20" s="78" t="str">
        <f t="shared" si="63"/>
        <v>¤</v>
      </c>
      <c r="Q20" s="78" t="str">
        <f t="shared" si="63"/>
        <v>¤</v>
      </c>
      <c r="R20" s="78" t="str">
        <f t="shared" si="63"/>
        <v>¤</v>
      </c>
      <c r="S20" s="78" t="str">
        <f t="shared" si="63"/>
        <v>¤</v>
      </c>
      <c r="T20" s="78" t="str">
        <f t="shared" si="63"/>
        <v>¤</v>
      </c>
      <c r="U20" s="78" t="str">
        <f t="shared" si="63"/>
        <v>¤</v>
      </c>
      <c r="V20" s="149" t="s">
        <v>264</v>
      </c>
      <c r="W20" s="78" t="str">
        <f t="shared" ref="W20:AO20" si="64">CHAR(164)</f>
        <v>¤</v>
      </c>
      <c r="X20" s="78" t="str">
        <f t="shared" si="64"/>
        <v>¤</v>
      </c>
      <c r="Y20" s="78" t="str">
        <f t="shared" si="64"/>
        <v>¤</v>
      </c>
      <c r="Z20" s="78" t="str">
        <f t="shared" si="64"/>
        <v>¤</v>
      </c>
      <c r="AA20" s="78" t="str">
        <f t="shared" si="64"/>
        <v>¤</v>
      </c>
      <c r="AB20" s="78" t="str">
        <f t="shared" si="64"/>
        <v>¤</v>
      </c>
      <c r="AC20" s="78" t="str">
        <f t="shared" si="64"/>
        <v>¤</v>
      </c>
      <c r="AD20" s="78" t="str">
        <f t="shared" si="64"/>
        <v>¤</v>
      </c>
      <c r="AE20" s="78" t="str">
        <f t="shared" si="64"/>
        <v>¤</v>
      </c>
      <c r="AF20" s="78" t="str">
        <f t="shared" si="64"/>
        <v>¤</v>
      </c>
      <c r="AG20" s="78" t="str">
        <f t="shared" si="64"/>
        <v>¤</v>
      </c>
      <c r="AH20" s="78" t="str">
        <f t="shared" si="64"/>
        <v>¤</v>
      </c>
      <c r="AI20" s="78" t="str">
        <f t="shared" si="64"/>
        <v>¤</v>
      </c>
      <c r="AJ20" s="78" t="str">
        <f t="shared" si="64"/>
        <v>¤</v>
      </c>
      <c r="AK20" s="78" t="str">
        <f t="shared" si="64"/>
        <v>¤</v>
      </c>
      <c r="AL20" s="78" t="str">
        <f t="shared" si="64"/>
        <v>¤</v>
      </c>
      <c r="AM20" s="78" t="str">
        <f t="shared" si="64"/>
        <v>¤</v>
      </c>
      <c r="AN20" s="78" t="str">
        <f t="shared" si="64"/>
        <v>¤</v>
      </c>
      <c r="AO20" s="78" t="str">
        <f t="shared" si="64"/>
        <v>¤</v>
      </c>
      <c r="AP20" s="109" t="s">
        <v>241</v>
      </c>
      <c r="AQ20" s="78" t="str">
        <f t="shared" ref="AQ20:BF20" si="65">CHAR(164)</f>
        <v>¤</v>
      </c>
      <c r="AR20" s="78" t="str">
        <f t="shared" si="65"/>
        <v>¤</v>
      </c>
      <c r="AS20" s="78" t="str">
        <f t="shared" si="65"/>
        <v>¤</v>
      </c>
      <c r="AT20" s="78" t="str">
        <f t="shared" si="65"/>
        <v>¤</v>
      </c>
      <c r="AU20" s="78" t="str">
        <f t="shared" si="65"/>
        <v>¤</v>
      </c>
      <c r="AV20" s="78" t="str">
        <f t="shared" si="65"/>
        <v>¤</v>
      </c>
      <c r="AW20" s="78" t="str">
        <f t="shared" si="65"/>
        <v>¤</v>
      </c>
      <c r="AX20" s="78" t="str">
        <f t="shared" si="65"/>
        <v>¤</v>
      </c>
      <c r="AY20" s="78" t="str">
        <f t="shared" si="65"/>
        <v>¤</v>
      </c>
      <c r="AZ20" s="78" t="str">
        <f t="shared" si="65"/>
        <v>¤</v>
      </c>
      <c r="BA20" s="78" t="str">
        <f t="shared" si="65"/>
        <v>¤</v>
      </c>
      <c r="BB20" s="78" t="str">
        <f t="shared" si="65"/>
        <v>¤</v>
      </c>
      <c r="BC20" s="78" t="str">
        <f t="shared" si="65"/>
        <v>¤</v>
      </c>
      <c r="BD20" s="78" t="str">
        <f t="shared" si="65"/>
        <v>¤</v>
      </c>
      <c r="BE20" s="78" t="str">
        <f t="shared" si="65"/>
        <v>¤</v>
      </c>
      <c r="BF20" s="78" t="str">
        <f t="shared" si="65"/>
        <v>¤</v>
      </c>
      <c r="BG20" s="106" t="s">
        <v>237</v>
      </c>
      <c r="BH20" s="78" t="str">
        <f t="shared" ref="BH20:BP20" si="66">CHAR(164)</f>
        <v>¤</v>
      </c>
      <c r="BI20" s="78" t="str">
        <f t="shared" si="66"/>
        <v>¤</v>
      </c>
      <c r="BJ20" s="78" t="str">
        <f t="shared" si="66"/>
        <v>¤</v>
      </c>
      <c r="BK20" s="78" t="str">
        <f t="shared" si="66"/>
        <v>¤</v>
      </c>
      <c r="BL20" s="78" t="str">
        <f t="shared" si="66"/>
        <v>¤</v>
      </c>
      <c r="BM20" s="78" t="str">
        <f t="shared" si="66"/>
        <v>¤</v>
      </c>
      <c r="BN20" s="78" t="str">
        <f t="shared" si="66"/>
        <v>¤</v>
      </c>
      <c r="BO20" s="78" t="str">
        <f t="shared" si="66"/>
        <v>¤</v>
      </c>
      <c r="BP20" s="78" t="str">
        <f t="shared" si="66"/>
        <v>¤</v>
      </c>
      <c r="BQ20" s="168" t="s">
        <v>271</v>
      </c>
      <c r="BR20" s="78" t="str">
        <f t="shared" ref="BR20:BT20" si="67">CHAR(164)</f>
        <v>¤</v>
      </c>
      <c r="BS20" s="78" t="str">
        <f t="shared" si="67"/>
        <v>¤</v>
      </c>
      <c r="BT20" s="78" t="str">
        <f t="shared" si="67"/>
        <v>¤</v>
      </c>
      <c r="BU20" s="90">
        <f t="shared" si="12"/>
        <v>33</v>
      </c>
      <c r="BV20" s="78"/>
      <c r="BW20" s="185" t="s">
        <v>279</v>
      </c>
      <c r="BX20" s="186" t="s">
        <v>280</v>
      </c>
      <c r="BY20" s="104"/>
      <c r="BZ20" s="78"/>
      <c r="CA20" s="78"/>
      <c r="CB20" s="78"/>
      <c r="CC20" s="78"/>
      <c r="CD20" s="78"/>
    </row>
    <row r="21" ht="9.0" customHeight="1">
      <c r="A21" s="90">
        <f t="shared" si="10"/>
        <v>32</v>
      </c>
      <c r="B21" s="78" t="str">
        <f t="shared" ref="B21:F21" si="68">CHAR(164)</f>
        <v>¤</v>
      </c>
      <c r="C21" s="78" t="str">
        <f t="shared" si="68"/>
        <v>¤</v>
      </c>
      <c r="D21" s="78" t="str">
        <f t="shared" si="68"/>
        <v>¤</v>
      </c>
      <c r="E21" s="78" t="str">
        <f t="shared" si="68"/>
        <v>¤</v>
      </c>
      <c r="F21" s="78" t="str">
        <f t="shared" si="68"/>
        <v>¤</v>
      </c>
      <c r="G21" s="112" t="s">
        <v>246</v>
      </c>
      <c r="H21" s="78" t="str">
        <f t="shared" ref="H21:U21" si="69">CHAR(164)</f>
        <v>¤</v>
      </c>
      <c r="I21" s="78" t="str">
        <f t="shared" si="69"/>
        <v>¤</v>
      </c>
      <c r="J21" s="78" t="str">
        <f t="shared" si="69"/>
        <v>¤</v>
      </c>
      <c r="K21" s="78" t="str">
        <f t="shared" si="69"/>
        <v>¤</v>
      </c>
      <c r="L21" s="78" t="str">
        <f t="shared" si="69"/>
        <v>¤</v>
      </c>
      <c r="M21" s="78" t="str">
        <f t="shared" si="69"/>
        <v>¤</v>
      </c>
      <c r="N21" s="78" t="str">
        <f t="shared" si="69"/>
        <v>¤</v>
      </c>
      <c r="O21" s="78" t="str">
        <f t="shared" si="69"/>
        <v>¤</v>
      </c>
      <c r="P21" s="78" t="str">
        <f t="shared" si="69"/>
        <v>¤</v>
      </c>
      <c r="Q21" s="78" t="str">
        <f t="shared" si="69"/>
        <v>¤</v>
      </c>
      <c r="R21" s="78" t="str">
        <f t="shared" si="69"/>
        <v>¤</v>
      </c>
      <c r="S21" s="78" t="str">
        <f t="shared" si="69"/>
        <v>¤</v>
      </c>
      <c r="T21" s="78" t="str">
        <f t="shared" si="69"/>
        <v>¤</v>
      </c>
      <c r="U21" s="78" t="str">
        <f t="shared" si="69"/>
        <v>¤</v>
      </c>
      <c r="V21" s="149" t="s">
        <v>264</v>
      </c>
      <c r="W21" s="78" t="str">
        <f t="shared" ref="W21:AO21" si="70">CHAR(164)</f>
        <v>¤</v>
      </c>
      <c r="X21" s="78" t="str">
        <f t="shared" si="70"/>
        <v>¤</v>
      </c>
      <c r="Y21" s="78" t="str">
        <f t="shared" si="70"/>
        <v>¤</v>
      </c>
      <c r="Z21" s="78" t="str">
        <f t="shared" si="70"/>
        <v>¤</v>
      </c>
      <c r="AA21" s="78" t="str">
        <f t="shared" si="70"/>
        <v>¤</v>
      </c>
      <c r="AB21" s="78" t="str">
        <f t="shared" si="70"/>
        <v>¤</v>
      </c>
      <c r="AC21" s="78" t="str">
        <f t="shared" si="70"/>
        <v>¤</v>
      </c>
      <c r="AD21" s="78" t="str">
        <f t="shared" si="70"/>
        <v>¤</v>
      </c>
      <c r="AE21" s="78" t="str">
        <f t="shared" si="70"/>
        <v>¤</v>
      </c>
      <c r="AF21" s="78" t="str">
        <f t="shared" si="70"/>
        <v>¤</v>
      </c>
      <c r="AG21" s="78" t="str">
        <f t="shared" si="70"/>
        <v>¤</v>
      </c>
      <c r="AH21" s="78" t="str">
        <f t="shared" si="70"/>
        <v>¤</v>
      </c>
      <c r="AI21" s="78" t="str">
        <f t="shared" si="70"/>
        <v>¤</v>
      </c>
      <c r="AJ21" s="78" t="str">
        <f t="shared" si="70"/>
        <v>¤</v>
      </c>
      <c r="AK21" s="78" t="str">
        <f t="shared" si="70"/>
        <v>¤</v>
      </c>
      <c r="AL21" s="78" t="str">
        <f t="shared" si="70"/>
        <v>¤</v>
      </c>
      <c r="AM21" s="78" t="str">
        <f t="shared" si="70"/>
        <v>¤</v>
      </c>
      <c r="AN21" s="78" t="str">
        <f t="shared" si="70"/>
        <v>¤</v>
      </c>
      <c r="AO21" s="78" t="str">
        <f t="shared" si="70"/>
        <v>¤</v>
      </c>
      <c r="AP21" s="109" t="s">
        <v>241</v>
      </c>
      <c r="AQ21" s="78" t="str">
        <f t="shared" ref="AQ21:BF21" si="71">CHAR(164)</f>
        <v>¤</v>
      </c>
      <c r="AR21" s="78" t="str">
        <f t="shared" si="71"/>
        <v>¤</v>
      </c>
      <c r="AS21" s="78" t="str">
        <f t="shared" si="71"/>
        <v>¤</v>
      </c>
      <c r="AT21" s="78" t="str">
        <f t="shared" si="71"/>
        <v>¤</v>
      </c>
      <c r="AU21" s="78" t="str">
        <f t="shared" si="71"/>
        <v>¤</v>
      </c>
      <c r="AV21" s="78" t="str">
        <f t="shared" si="71"/>
        <v>¤</v>
      </c>
      <c r="AW21" s="78" t="str">
        <f t="shared" si="71"/>
        <v>¤</v>
      </c>
      <c r="AX21" s="78" t="str">
        <f t="shared" si="71"/>
        <v>¤</v>
      </c>
      <c r="AY21" s="78" t="str">
        <f t="shared" si="71"/>
        <v>¤</v>
      </c>
      <c r="AZ21" s="78" t="str">
        <f t="shared" si="71"/>
        <v>¤</v>
      </c>
      <c r="BA21" s="78" t="str">
        <f t="shared" si="71"/>
        <v>¤</v>
      </c>
      <c r="BB21" s="78" t="str">
        <f t="shared" si="71"/>
        <v>¤</v>
      </c>
      <c r="BC21" s="78" t="str">
        <f t="shared" si="71"/>
        <v>¤</v>
      </c>
      <c r="BD21" s="78" t="str">
        <f t="shared" si="71"/>
        <v>¤</v>
      </c>
      <c r="BE21" s="78" t="str">
        <f t="shared" si="71"/>
        <v>¤</v>
      </c>
      <c r="BF21" s="78" t="str">
        <f t="shared" si="71"/>
        <v>¤</v>
      </c>
      <c r="BG21" s="106" t="s">
        <v>237</v>
      </c>
      <c r="BH21" s="78" t="str">
        <f t="shared" ref="BH21:BP21" si="72">CHAR(164)</f>
        <v>¤</v>
      </c>
      <c r="BI21" s="78" t="str">
        <f t="shared" si="72"/>
        <v>¤</v>
      </c>
      <c r="BJ21" s="78" t="str">
        <f t="shared" si="72"/>
        <v>¤</v>
      </c>
      <c r="BK21" s="78" t="str">
        <f t="shared" si="72"/>
        <v>¤</v>
      </c>
      <c r="BL21" s="78" t="str">
        <f t="shared" si="72"/>
        <v>¤</v>
      </c>
      <c r="BM21" s="78" t="str">
        <f t="shared" si="72"/>
        <v>¤</v>
      </c>
      <c r="BN21" s="78" t="str">
        <f t="shared" si="72"/>
        <v>¤</v>
      </c>
      <c r="BO21" s="78" t="str">
        <f t="shared" si="72"/>
        <v>¤</v>
      </c>
      <c r="BP21" s="78" t="str">
        <f t="shared" si="72"/>
        <v>¤</v>
      </c>
      <c r="BQ21" s="168" t="s">
        <v>271</v>
      </c>
      <c r="BR21" s="78" t="str">
        <f t="shared" ref="BR21:BT21" si="73">CHAR(164)</f>
        <v>¤</v>
      </c>
      <c r="BS21" s="78" t="str">
        <f t="shared" si="73"/>
        <v>¤</v>
      </c>
      <c r="BT21" s="78" t="str">
        <f t="shared" si="73"/>
        <v>¤</v>
      </c>
      <c r="BU21" s="90">
        <f t="shared" si="12"/>
        <v>32</v>
      </c>
      <c r="BV21" s="78"/>
      <c r="BW21" s="187" t="s">
        <v>281</v>
      </c>
      <c r="BX21" s="188" t="s">
        <v>282</v>
      </c>
      <c r="BY21" s="104"/>
      <c r="BZ21" s="78"/>
      <c r="CA21" s="78"/>
      <c r="CB21" s="78"/>
      <c r="CC21" s="78"/>
      <c r="CD21" s="78"/>
    </row>
    <row r="22" ht="9.0" customHeight="1">
      <c r="A22" s="90">
        <f t="shared" si="10"/>
        <v>31</v>
      </c>
      <c r="B22" s="78" t="str">
        <f t="shared" ref="B22:F22" si="74">CHAR(164)</f>
        <v>¤</v>
      </c>
      <c r="C22" s="78" t="str">
        <f t="shared" si="74"/>
        <v>¤</v>
      </c>
      <c r="D22" s="78" t="str">
        <f t="shared" si="74"/>
        <v>¤</v>
      </c>
      <c r="E22" s="78" t="str">
        <f t="shared" si="74"/>
        <v>¤</v>
      </c>
      <c r="F22" s="78" t="str">
        <f t="shared" si="74"/>
        <v>¤</v>
      </c>
      <c r="G22" s="112" t="s">
        <v>246</v>
      </c>
      <c r="H22" s="78" t="str">
        <f t="shared" ref="H22:U22" si="75">CHAR(164)</f>
        <v>¤</v>
      </c>
      <c r="I22" s="78" t="str">
        <f t="shared" si="75"/>
        <v>¤</v>
      </c>
      <c r="J22" s="78" t="str">
        <f t="shared" si="75"/>
        <v>¤</v>
      </c>
      <c r="K22" s="78" t="str">
        <f t="shared" si="75"/>
        <v>¤</v>
      </c>
      <c r="L22" s="78" t="str">
        <f t="shared" si="75"/>
        <v>¤</v>
      </c>
      <c r="M22" s="78" t="str">
        <f t="shared" si="75"/>
        <v>¤</v>
      </c>
      <c r="N22" s="78" t="str">
        <f t="shared" si="75"/>
        <v>¤</v>
      </c>
      <c r="O22" s="78" t="str">
        <f t="shared" si="75"/>
        <v>¤</v>
      </c>
      <c r="P22" s="78" t="str">
        <f t="shared" si="75"/>
        <v>¤</v>
      </c>
      <c r="Q22" s="78" t="str">
        <f t="shared" si="75"/>
        <v>¤</v>
      </c>
      <c r="R22" s="78" t="str">
        <f t="shared" si="75"/>
        <v>¤</v>
      </c>
      <c r="S22" s="78" t="str">
        <f t="shared" si="75"/>
        <v>¤</v>
      </c>
      <c r="T22" s="78" t="str">
        <f t="shared" si="75"/>
        <v>¤</v>
      </c>
      <c r="U22" s="78" t="str">
        <f t="shared" si="75"/>
        <v>¤</v>
      </c>
      <c r="V22" s="149" t="s">
        <v>264</v>
      </c>
      <c r="W22" s="78" t="str">
        <f t="shared" ref="W22:AO22" si="76">CHAR(164)</f>
        <v>¤</v>
      </c>
      <c r="X22" s="78" t="str">
        <f t="shared" si="76"/>
        <v>¤</v>
      </c>
      <c r="Y22" s="78" t="str">
        <f t="shared" si="76"/>
        <v>¤</v>
      </c>
      <c r="Z22" s="78" t="str">
        <f t="shared" si="76"/>
        <v>¤</v>
      </c>
      <c r="AA22" s="78" t="str">
        <f t="shared" si="76"/>
        <v>¤</v>
      </c>
      <c r="AB22" s="78" t="str">
        <f t="shared" si="76"/>
        <v>¤</v>
      </c>
      <c r="AC22" s="78" t="str">
        <f t="shared" si="76"/>
        <v>¤</v>
      </c>
      <c r="AD22" s="78" t="str">
        <f t="shared" si="76"/>
        <v>¤</v>
      </c>
      <c r="AE22" s="78" t="str">
        <f t="shared" si="76"/>
        <v>¤</v>
      </c>
      <c r="AF22" s="78" t="str">
        <f t="shared" si="76"/>
        <v>¤</v>
      </c>
      <c r="AG22" s="78" t="str">
        <f t="shared" si="76"/>
        <v>¤</v>
      </c>
      <c r="AH22" s="78" t="str">
        <f t="shared" si="76"/>
        <v>¤</v>
      </c>
      <c r="AI22" s="78" t="str">
        <f t="shared" si="76"/>
        <v>¤</v>
      </c>
      <c r="AJ22" s="78" t="str">
        <f t="shared" si="76"/>
        <v>¤</v>
      </c>
      <c r="AK22" s="78" t="str">
        <f t="shared" si="76"/>
        <v>¤</v>
      </c>
      <c r="AL22" s="78" t="str">
        <f t="shared" si="76"/>
        <v>¤</v>
      </c>
      <c r="AM22" s="78" t="str">
        <f t="shared" si="76"/>
        <v>¤</v>
      </c>
      <c r="AN22" s="78" t="str">
        <f t="shared" si="76"/>
        <v>¤</v>
      </c>
      <c r="AO22" s="78" t="str">
        <f t="shared" si="76"/>
        <v>¤</v>
      </c>
      <c r="AP22" s="109" t="s">
        <v>241</v>
      </c>
      <c r="AQ22" s="78" t="str">
        <f t="shared" ref="AQ22:BF22" si="77">CHAR(164)</f>
        <v>¤</v>
      </c>
      <c r="AR22" s="78" t="str">
        <f t="shared" si="77"/>
        <v>¤</v>
      </c>
      <c r="AS22" s="78" t="str">
        <f t="shared" si="77"/>
        <v>¤</v>
      </c>
      <c r="AT22" s="78" t="str">
        <f t="shared" si="77"/>
        <v>¤</v>
      </c>
      <c r="AU22" s="78" t="str">
        <f t="shared" si="77"/>
        <v>¤</v>
      </c>
      <c r="AV22" s="78" t="str">
        <f t="shared" si="77"/>
        <v>¤</v>
      </c>
      <c r="AW22" s="78" t="str">
        <f t="shared" si="77"/>
        <v>¤</v>
      </c>
      <c r="AX22" s="78" t="str">
        <f t="shared" si="77"/>
        <v>¤</v>
      </c>
      <c r="AY22" s="78" t="str">
        <f t="shared" si="77"/>
        <v>¤</v>
      </c>
      <c r="AZ22" s="78" t="str">
        <f t="shared" si="77"/>
        <v>¤</v>
      </c>
      <c r="BA22" s="78" t="str">
        <f t="shared" si="77"/>
        <v>¤</v>
      </c>
      <c r="BB22" s="78" t="str">
        <f t="shared" si="77"/>
        <v>¤</v>
      </c>
      <c r="BC22" s="78" t="str">
        <f t="shared" si="77"/>
        <v>¤</v>
      </c>
      <c r="BD22" s="78" t="str">
        <f t="shared" si="77"/>
        <v>¤</v>
      </c>
      <c r="BE22" s="78" t="str">
        <f t="shared" si="77"/>
        <v>¤</v>
      </c>
      <c r="BF22" s="78" t="str">
        <f t="shared" si="77"/>
        <v>¤</v>
      </c>
      <c r="BG22" s="106" t="s">
        <v>237</v>
      </c>
      <c r="BH22" s="78" t="str">
        <f t="shared" ref="BH22:BP22" si="78">CHAR(164)</f>
        <v>¤</v>
      </c>
      <c r="BI22" s="78" t="str">
        <f t="shared" si="78"/>
        <v>¤</v>
      </c>
      <c r="BJ22" s="78" t="str">
        <f t="shared" si="78"/>
        <v>¤</v>
      </c>
      <c r="BK22" s="78" t="str">
        <f t="shared" si="78"/>
        <v>¤</v>
      </c>
      <c r="BL22" s="78" t="str">
        <f t="shared" si="78"/>
        <v>¤</v>
      </c>
      <c r="BM22" s="78" t="str">
        <f t="shared" si="78"/>
        <v>¤</v>
      </c>
      <c r="BN22" s="78" t="str">
        <f t="shared" si="78"/>
        <v>¤</v>
      </c>
      <c r="BO22" s="78" t="str">
        <f t="shared" si="78"/>
        <v>¤</v>
      </c>
      <c r="BP22" s="78" t="str">
        <f t="shared" si="78"/>
        <v>¤</v>
      </c>
      <c r="BQ22" s="168" t="s">
        <v>271</v>
      </c>
      <c r="BR22" s="78" t="str">
        <f t="shared" ref="BR22:BT22" si="79">CHAR(164)</f>
        <v>¤</v>
      </c>
      <c r="BS22" s="78" t="str">
        <f t="shared" si="79"/>
        <v>¤</v>
      </c>
      <c r="BT22" s="78" t="str">
        <f t="shared" si="79"/>
        <v>¤</v>
      </c>
      <c r="BU22" s="90">
        <f t="shared" si="12"/>
        <v>31</v>
      </c>
      <c r="BV22" s="78"/>
      <c r="BW22" s="78"/>
      <c r="BX22" s="78"/>
      <c r="BY22" s="78"/>
      <c r="BZ22" s="78"/>
      <c r="CA22" s="78"/>
      <c r="CB22" s="78"/>
      <c r="CC22" s="78"/>
      <c r="CD22" s="78"/>
    </row>
    <row r="23" ht="9.0" customHeight="1">
      <c r="A23" s="90">
        <f t="shared" si="10"/>
        <v>30</v>
      </c>
      <c r="B23" s="78" t="str">
        <f t="shared" ref="B23:F23" si="80">CHAR(164)</f>
        <v>¤</v>
      </c>
      <c r="C23" s="78" t="str">
        <f t="shared" si="80"/>
        <v>¤</v>
      </c>
      <c r="D23" s="78" t="str">
        <f t="shared" si="80"/>
        <v>¤</v>
      </c>
      <c r="E23" s="78" t="str">
        <f t="shared" si="80"/>
        <v>¤</v>
      </c>
      <c r="F23" s="78" t="str">
        <f t="shared" si="80"/>
        <v>¤</v>
      </c>
      <c r="G23" s="112" t="s">
        <v>246</v>
      </c>
      <c r="H23" s="78" t="str">
        <f t="shared" ref="H23:P23" si="81">CHAR(164)</f>
        <v>¤</v>
      </c>
      <c r="I23" s="78" t="str">
        <f t="shared" si="81"/>
        <v>¤</v>
      </c>
      <c r="J23" s="78" t="str">
        <f t="shared" si="81"/>
        <v>¤</v>
      </c>
      <c r="K23" s="78" t="str">
        <f t="shared" si="81"/>
        <v>¤</v>
      </c>
      <c r="L23" s="78" t="str">
        <f t="shared" si="81"/>
        <v>¤</v>
      </c>
      <c r="M23" s="78" t="str">
        <f t="shared" si="81"/>
        <v>¤</v>
      </c>
      <c r="N23" s="78" t="str">
        <f t="shared" si="81"/>
        <v>¤</v>
      </c>
      <c r="O23" s="78" t="str">
        <f t="shared" si="81"/>
        <v>¤</v>
      </c>
      <c r="P23" s="78" t="str">
        <f t="shared" si="81"/>
        <v>¤</v>
      </c>
      <c r="Q23" s="149" t="s">
        <v>264</v>
      </c>
      <c r="R23" s="149" t="s">
        <v>264</v>
      </c>
      <c r="S23" s="149" t="s">
        <v>264</v>
      </c>
      <c r="T23" s="149" t="s">
        <v>264</v>
      </c>
      <c r="U23" s="149" t="s">
        <v>264</v>
      </c>
      <c r="V23" s="149" t="s">
        <v>264</v>
      </c>
      <c r="W23" s="78" t="str">
        <f t="shared" ref="W23:AE23" si="82">CHAR(164)</f>
        <v>¤</v>
      </c>
      <c r="X23" s="78" t="str">
        <f t="shared" si="82"/>
        <v>¤</v>
      </c>
      <c r="Y23" s="78" t="str">
        <f t="shared" si="82"/>
        <v>¤</v>
      </c>
      <c r="Z23" s="78" t="str">
        <f t="shared" si="82"/>
        <v>¤</v>
      </c>
      <c r="AA23" s="78" t="str">
        <f t="shared" si="82"/>
        <v>¤</v>
      </c>
      <c r="AB23" s="78" t="str">
        <f t="shared" si="82"/>
        <v>¤</v>
      </c>
      <c r="AC23" s="78" t="str">
        <f t="shared" si="82"/>
        <v>¤</v>
      </c>
      <c r="AD23" s="78" t="str">
        <f t="shared" si="82"/>
        <v>¤</v>
      </c>
      <c r="AE23" s="78" t="str">
        <f t="shared" si="82"/>
        <v>¤</v>
      </c>
      <c r="AF23" s="169" t="s">
        <v>272</v>
      </c>
      <c r="AG23" s="169" t="s">
        <v>272</v>
      </c>
      <c r="AH23" s="169" t="s">
        <v>272</v>
      </c>
      <c r="AI23" s="169" t="s">
        <v>272</v>
      </c>
      <c r="AJ23" s="169" t="s">
        <v>272</v>
      </c>
      <c r="AK23" s="169" t="s">
        <v>272</v>
      </c>
      <c r="AL23" s="78" t="str">
        <f t="shared" ref="AL23:AO23" si="83">CHAR(164)</f>
        <v>¤</v>
      </c>
      <c r="AM23" s="78" t="str">
        <f t="shared" si="83"/>
        <v>¤</v>
      </c>
      <c r="AN23" s="78" t="str">
        <f t="shared" si="83"/>
        <v>¤</v>
      </c>
      <c r="AO23" s="78" t="str">
        <f t="shared" si="83"/>
        <v>¤</v>
      </c>
      <c r="AP23" s="109" t="s">
        <v>241</v>
      </c>
      <c r="AQ23" s="78" t="str">
        <f t="shared" ref="AQ23:BF23" si="84">CHAR(164)</f>
        <v>¤</v>
      </c>
      <c r="AR23" s="78" t="str">
        <f t="shared" si="84"/>
        <v>¤</v>
      </c>
      <c r="AS23" s="78" t="str">
        <f t="shared" si="84"/>
        <v>¤</v>
      </c>
      <c r="AT23" s="78" t="str">
        <f t="shared" si="84"/>
        <v>¤</v>
      </c>
      <c r="AU23" s="78" t="str">
        <f t="shared" si="84"/>
        <v>¤</v>
      </c>
      <c r="AV23" s="78" t="str">
        <f t="shared" si="84"/>
        <v>¤</v>
      </c>
      <c r="AW23" s="78" t="str">
        <f t="shared" si="84"/>
        <v>¤</v>
      </c>
      <c r="AX23" s="78" t="str">
        <f t="shared" si="84"/>
        <v>¤</v>
      </c>
      <c r="AY23" s="78" t="str">
        <f t="shared" si="84"/>
        <v>¤</v>
      </c>
      <c r="AZ23" s="78" t="str">
        <f t="shared" si="84"/>
        <v>¤</v>
      </c>
      <c r="BA23" s="78" t="str">
        <f t="shared" si="84"/>
        <v>¤</v>
      </c>
      <c r="BB23" s="78" t="str">
        <f t="shared" si="84"/>
        <v>¤</v>
      </c>
      <c r="BC23" s="78" t="str">
        <f t="shared" si="84"/>
        <v>¤</v>
      </c>
      <c r="BD23" s="78" t="str">
        <f t="shared" si="84"/>
        <v>¤</v>
      </c>
      <c r="BE23" s="78" t="str">
        <f t="shared" si="84"/>
        <v>¤</v>
      </c>
      <c r="BF23" s="78" t="str">
        <f t="shared" si="84"/>
        <v>¤</v>
      </c>
      <c r="BG23" s="106" t="s">
        <v>237</v>
      </c>
      <c r="BH23" s="78" t="str">
        <f t="shared" ref="BH23:BP23" si="85">CHAR(164)</f>
        <v>¤</v>
      </c>
      <c r="BI23" s="78" t="str">
        <f t="shared" si="85"/>
        <v>¤</v>
      </c>
      <c r="BJ23" s="78" t="str">
        <f t="shared" si="85"/>
        <v>¤</v>
      </c>
      <c r="BK23" s="78" t="str">
        <f t="shared" si="85"/>
        <v>¤</v>
      </c>
      <c r="BL23" s="78" t="str">
        <f t="shared" si="85"/>
        <v>¤</v>
      </c>
      <c r="BM23" s="78" t="str">
        <f t="shared" si="85"/>
        <v>¤</v>
      </c>
      <c r="BN23" s="78" t="str">
        <f t="shared" si="85"/>
        <v>¤</v>
      </c>
      <c r="BO23" s="78" t="str">
        <f t="shared" si="85"/>
        <v>¤</v>
      </c>
      <c r="BP23" s="78" t="str">
        <f t="shared" si="85"/>
        <v>¤</v>
      </c>
      <c r="BQ23" s="168" t="s">
        <v>271</v>
      </c>
      <c r="BR23" s="78" t="str">
        <f t="shared" ref="BR23:BT23" si="86">CHAR(164)</f>
        <v>¤</v>
      </c>
      <c r="BS23" s="78" t="str">
        <f t="shared" si="86"/>
        <v>¤</v>
      </c>
      <c r="BT23" s="78" t="str">
        <f t="shared" si="86"/>
        <v>¤</v>
      </c>
      <c r="BU23" s="90">
        <f t="shared" si="12"/>
        <v>30</v>
      </c>
      <c r="BV23" s="78"/>
      <c r="BW23" s="78"/>
      <c r="BX23" s="78"/>
      <c r="BY23" s="78"/>
      <c r="BZ23" s="78"/>
      <c r="CA23" s="78"/>
      <c r="CB23" s="78"/>
      <c r="CC23" s="78"/>
      <c r="CD23" s="78"/>
    </row>
    <row r="24" ht="9.0" customHeight="1">
      <c r="A24" s="90">
        <f t="shared" si="10"/>
        <v>29</v>
      </c>
      <c r="B24" s="78" t="str">
        <f t="shared" ref="B24:F24" si="87">CHAR(164)</f>
        <v>¤</v>
      </c>
      <c r="C24" s="78" t="str">
        <f t="shared" si="87"/>
        <v>¤</v>
      </c>
      <c r="D24" s="78" t="str">
        <f t="shared" si="87"/>
        <v>¤</v>
      </c>
      <c r="E24" s="78" t="str">
        <f t="shared" si="87"/>
        <v>¤</v>
      </c>
      <c r="F24" s="78" t="str">
        <f t="shared" si="87"/>
        <v>¤</v>
      </c>
      <c r="G24" s="112" t="s">
        <v>246</v>
      </c>
      <c r="H24" s="78" t="str">
        <f t="shared" ref="H24:P24" si="88">CHAR(164)</f>
        <v>¤</v>
      </c>
      <c r="I24" s="78" t="str">
        <f t="shared" si="88"/>
        <v>¤</v>
      </c>
      <c r="J24" s="78" t="str">
        <f t="shared" si="88"/>
        <v>¤</v>
      </c>
      <c r="K24" s="78" t="str">
        <f t="shared" si="88"/>
        <v>¤</v>
      </c>
      <c r="L24" s="78" t="str">
        <f t="shared" si="88"/>
        <v>¤</v>
      </c>
      <c r="M24" s="78" t="str">
        <f t="shared" si="88"/>
        <v>¤</v>
      </c>
      <c r="N24" s="78" t="str">
        <f t="shared" si="88"/>
        <v>¤</v>
      </c>
      <c r="O24" s="78" t="str">
        <f t="shared" si="88"/>
        <v>¤</v>
      </c>
      <c r="P24" s="78" t="str">
        <f t="shared" si="88"/>
        <v>¤</v>
      </c>
      <c r="Q24" s="149" t="s">
        <v>264</v>
      </c>
      <c r="R24" s="78" t="str">
        <f t="shared" ref="R24:AE24" si="89">CHAR(164)</f>
        <v>¤</v>
      </c>
      <c r="S24" s="78" t="str">
        <f t="shared" si="89"/>
        <v>¤</v>
      </c>
      <c r="T24" s="78" t="str">
        <f t="shared" si="89"/>
        <v>¤</v>
      </c>
      <c r="U24" s="78" t="str">
        <f t="shared" si="89"/>
        <v>¤</v>
      </c>
      <c r="V24" s="78" t="str">
        <f t="shared" si="89"/>
        <v>¤</v>
      </c>
      <c r="W24" s="78" t="str">
        <f t="shared" si="89"/>
        <v>¤</v>
      </c>
      <c r="X24" s="78" t="str">
        <f t="shared" si="89"/>
        <v>¤</v>
      </c>
      <c r="Y24" s="78" t="str">
        <f t="shared" si="89"/>
        <v>¤</v>
      </c>
      <c r="Z24" s="78" t="str">
        <f t="shared" si="89"/>
        <v>¤</v>
      </c>
      <c r="AA24" s="78" t="str">
        <f t="shared" si="89"/>
        <v>¤</v>
      </c>
      <c r="AB24" s="78" t="str">
        <f t="shared" si="89"/>
        <v>¤</v>
      </c>
      <c r="AC24" s="78" t="str">
        <f t="shared" si="89"/>
        <v>¤</v>
      </c>
      <c r="AD24" s="78" t="str">
        <f t="shared" si="89"/>
        <v>¤</v>
      </c>
      <c r="AE24" s="189" t="str">
        <f t="shared" si="89"/>
        <v>¤</v>
      </c>
      <c r="AF24" s="169" t="s">
        <v>272</v>
      </c>
      <c r="AG24" s="78" t="str">
        <f t="shared" ref="AG24:AO24" si="90">CHAR(164)</f>
        <v>¤</v>
      </c>
      <c r="AH24" s="78" t="str">
        <f t="shared" si="90"/>
        <v>¤</v>
      </c>
      <c r="AI24" s="78" t="str">
        <f t="shared" si="90"/>
        <v>¤</v>
      </c>
      <c r="AJ24" s="78" t="str">
        <f t="shared" si="90"/>
        <v>¤</v>
      </c>
      <c r="AK24" s="78" t="str">
        <f t="shared" si="90"/>
        <v>¤</v>
      </c>
      <c r="AL24" s="78" t="str">
        <f t="shared" si="90"/>
        <v>¤</v>
      </c>
      <c r="AM24" s="78" t="str">
        <f t="shared" si="90"/>
        <v>¤</v>
      </c>
      <c r="AN24" s="78" t="str">
        <f t="shared" si="90"/>
        <v>¤</v>
      </c>
      <c r="AO24" s="78" t="str">
        <f t="shared" si="90"/>
        <v>¤</v>
      </c>
      <c r="AP24" s="109" t="s">
        <v>241</v>
      </c>
      <c r="AQ24" s="78" t="str">
        <f t="shared" ref="AQ24:BP24" si="91">CHAR(164)</f>
        <v>¤</v>
      </c>
      <c r="AR24" s="78" t="str">
        <f t="shared" si="91"/>
        <v>¤</v>
      </c>
      <c r="AS24" s="78" t="str">
        <f t="shared" si="91"/>
        <v>¤</v>
      </c>
      <c r="AT24" s="78" t="str">
        <f t="shared" si="91"/>
        <v>¤</v>
      </c>
      <c r="AU24" s="78" t="str">
        <f t="shared" si="91"/>
        <v>¤</v>
      </c>
      <c r="AV24" s="78" t="str">
        <f t="shared" si="91"/>
        <v>¤</v>
      </c>
      <c r="AW24" s="78" t="str">
        <f t="shared" si="91"/>
        <v>¤</v>
      </c>
      <c r="AX24" s="78" t="str">
        <f t="shared" si="91"/>
        <v>¤</v>
      </c>
      <c r="AY24" s="78" t="str">
        <f t="shared" si="91"/>
        <v>¤</v>
      </c>
      <c r="AZ24" s="78" t="str">
        <f t="shared" si="91"/>
        <v>¤</v>
      </c>
      <c r="BA24" s="78" t="str">
        <f t="shared" si="91"/>
        <v>¤</v>
      </c>
      <c r="BB24" s="78" t="str">
        <f t="shared" si="91"/>
        <v>¤</v>
      </c>
      <c r="BC24" s="78" t="str">
        <f t="shared" si="91"/>
        <v>¤</v>
      </c>
      <c r="BD24" s="78" t="str">
        <f t="shared" si="91"/>
        <v>¤</v>
      </c>
      <c r="BE24" s="78" t="str">
        <f t="shared" si="91"/>
        <v>¤</v>
      </c>
      <c r="BF24" s="78" t="str">
        <f t="shared" si="91"/>
        <v>¤</v>
      </c>
      <c r="BG24" s="78" t="str">
        <f t="shared" si="91"/>
        <v>¤</v>
      </c>
      <c r="BH24" s="78" t="str">
        <f t="shared" si="91"/>
        <v>¤</v>
      </c>
      <c r="BI24" s="78" t="str">
        <f t="shared" si="91"/>
        <v>¤</v>
      </c>
      <c r="BJ24" s="78" t="str">
        <f t="shared" si="91"/>
        <v>¤</v>
      </c>
      <c r="BK24" s="78" t="str">
        <f t="shared" si="91"/>
        <v>¤</v>
      </c>
      <c r="BL24" s="78" t="str">
        <f t="shared" si="91"/>
        <v>¤</v>
      </c>
      <c r="BM24" s="78" t="str">
        <f t="shared" si="91"/>
        <v>¤</v>
      </c>
      <c r="BN24" s="78" t="str">
        <f t="shared" si="91"/>
        <v>¤</v>
      </c>
      <c r="BO24" s="78" t="str">
        <f t="shared" si="91"/>
        <v>¤</v>
      </c>
      <c r="BP24" s="78" t="str">
        <f t="shared" si="91"/>
        <v>¤</v>
      </c>
      <c r="BQ24" s="168" t="s">
        <v>271</v>
      </c>
      <c r="BR24" s="78" t="str">
        <f t="shared" ref="BR24:BT24" si="92">CHAR(164)</f>
        <v>¤</v>
      </c>
      <c r="BS24" s="78" t="str">
        <f t="shared" si="92"/>
        <v>¤</v>
      </c>
      <c r="BT24" s="78" t="str">
        <f t="shared" si="92"/>
        <v>¤</v>
      </c>
      <c r="BU24" s="90">
        <f t="shared" si="12"/>
        <v>29</v>
      </c>
      <c r="BV24" s="78"/>
      <c r="BW24" s="78"/>
      <c r="BX24" s="78"/>
      <c r="BY24" s="78"/>
      <c r="BZ24" s="78"/>
      <c r="CA24" s="78"/>
      <c r="CB24" s="78"/>
      <c r="CC24" s="78"/>
      <c r="CD24" s="78"/>
    </row>
    <row r="25" ht="9.0" customHeight="1">
      <c r="A25" s="90">
        <f t="shared" si="10"/>
        <v>28</v>
      </c>
      <c r="B25" s="78" t="str">
        <f t="shared" ref="B25:F25" si="93">CHAR(164)</f>
        <v>¤</v>
      </c>
      <c r="C25" s="78" t="str">
        <f t="shared" si="93"/>
        <v>¤</v>
      </c>
      <c r="D25" s="78" t="str">
        <f t="shared" si="93"/>
        <v>¤</v>
      </c>
      <c r="E25" s="78" t="str">
        <f t="shared" si="93"/>
        <v>¤</v>
      </c>
      <c r="F25" s="78" t="str">
        <f t="shared" si="93"/>
        <v>¤</v>
      </c>
      <c r="G25" s="112" t="s">
        <v>246</v>
      </c>
      <c r="H25" s="78" t="str">
        <f t="shared" ref="H25:P25" si="94">CHAR(164)</f>
        <v>¤</v>
      </c>
      <c r="I25" s="78" t="str">
        <f t="shared" si="94"/>
        <v>¤</v>
      </c>
      <c r="J25" s="78" t="str">
        <f t="shared" si="94"/>
        <v>¤</v>
      </c>
      <c r="K25" s="78" t="str">
        <f t="shared" si="94"/>
        <v>¤</v>
      </c>
      <c r="L25" s="78" t="str">
        <f t="shared" si="94"/>
        <v>¤</v>
      </c>
      <c r="M25" s="78" t="str">
        <f t="shared" si="94"/>
        <v>¤</v>
      </c>
      <c r="N25" s="78" t="str">
        <f t="shared" si="94"/>
        <v>¤</v>
      </c>
      <c r="O25" s="78" t="str">
        <f t="shared" si="94"/>
        <v>¤</v>
      </c>
      <c r="P25" s="78" t="str">
        <f t="shared" si="94"/>
        <v>¤</v>
      </c>
      <c r="Q25" s="149" t="s">
        <v>264</v>
      </c>
      <c r="R25" s="78" t="str">
        <f t="shared" ref="R25:AE25" si="95">CHAR(164)</f>
        <v>¤</v>
      </c>
      <c r="S25" s="78" t="str">
        <f t="shared" si="95"/>
        <v>¤</v>
      </c>
      <c r="T25" s="78" t="str">
        <f t="shared" si="95"/>
        <v>¤</v>
      </c>
      <c r="U25" s="78" t="str">
        <f t="shared" si="95"/>
        <v>¤</v>
      </c>
      <c r="V25" s="78" t="str">
        <f t="shared" si="95"/>
        <v>¤</v>
      </c>
      <c r="W25" s="78" t="str">
        <f t="shared" si="95"/>
        <v>¤</v>
      </c>
      <c r="X25" s="78" t="str">
        <f t="shared" si="95"/>
        <v>¤</v>
      </c>
      <c r="Y25" s="78" t="str">
        <f t="shared" si="95"/>
        <v>¤</v>
      </c>
      <c r="Z25" s="78" t="str">
        <f t="shared" si="95"/>
        <v>¤</v>
      </c>
      <c r="AA25" s="78" t="str">
        <f t="shared" si="95"/>
        <v>¤</v>
      </c>
      <c r="AB25" s="78" t="str">
        <f t="shared" si="95"/>
        <v>¤</v>
      </c>
      <c r="AC25" s="78" t="str">
        <f t="shared" si="95"/>
        <v>¤</v>
      </c>
      <c r="AD25" s="78" t="str">
        <f t="shared" si="95"/>
        <v>¤</v>
      </c>
      <c r="AE25" s="78" t="str">
        <f t="shared" si="95"/>
        <v>¤</v>
      </c>
      <c r="AF25" s="169" t="s">
        <v>272</v>
      </c>
      <c r="AG25" s="78" t="str">
        <f t="shared" ref="AG25:AO25" si="96">CHAR(164)</f>
        <v>¤</v>
      </c>
      <c r="AH25" s="78" t="str">
        <f t="shared" si="96"/>
        <v>¤</v>
      </c>
      <c r="AI25" s="78" t="str">
        <f t="shared" si="96"/>
        <v>¤</v>
      </c>
      <c r="AJ25" s="78" t="str">
        <f t="shared" si="96"/>
        <v>¤</v>
      </c>
      <c r="AK25" s="78" t="str">
        <f t="shared" si="96"/>
        <v>¤</v>
      </c>
      <c r="AL25" s="78" t="str">
        <f t="shared" si="96"/>
        <v>¤</v>
      </c>
      <c r="AM25" s="78" t="str">
        <f t="shared" si="96"/>
        <v>¤</v>
      </c>
      <c r="AN25" s="78" t="str">
        <f t="shared" si="96"/>
        <v>¤</v>
      </c>
      <c r="AO25" s="78" t="str">
        <f t="shared" si="96"/>
        <v>¤</v>
      </c>
      <c r="AP25" s="109" t="s">
        <v>241</v>
      </c>
      <c r="AQ25" s="78" t="str">
        <f t="shared" ref="AQ25:BP25" si="97">CHAR(164)</f>
        <v>¤</v>
      </c>
      <c r="AR25" s="78" t="str">
        <f t="shared" si="97"/>
        <v>¤</v>
      </c>
      <c r="AS25" s="78" t="str">
        <f t="shared" si="97"/>
        <v>¤</v>
      </c>
      <c r="AT25" s="78" t="str">
        <f t="shared" si="97"/>
        <v>¤</v>
      </c>
      <c r="AU25" s="78" t="str">
        <f t="shared" si="97"/>
        <v>¤</v>
      </c>
      <c r="AV25" s="78" t="str">
        <f t="shared" si="97"/>
        <v>¤</v>
      </c>
      <c r="AW25" s="78" t="str">
        <f t="shared" si="97"/>
        <v>¤</v>
      </c>
      <c r="AX25" s="78" t="str">
        <f t="shared" si="97"/>
        <v>¤</v>
      </c>
      <c r="AY25" s="78" t="str">
        <f t="shared" si="97"/>
        <v>¤</v>
      </c>
      <c r="AZ25" s="78" t="str">
        <f t="shared" si="97"/>
        <v>¤</v>
      </c>
      <c r="BA25" s="78" t="str">
        <f t="shared" si="97"/>
        <v>¤</v>
      </c>
      <c r="BB25" s="78" t="str">
        <f t="shared" si="97"/>
        <v>¤</v>
      </c>
      <c r="BC25" s="78" t="str">
        <f t="shared" si="97"/>
        <v>¤</v>
      </c>
      <c r="BD25" s="78" t="str">
        <f t="shared" si="97"/>
        <v>¤</v>
      </c>
      <c r="BE25" s="78" t="str">
        <f t="shared" si="97"/>
        <v>¤</v>
      </c>
      <c r="BF25" s="78" t="str">
        <f t="shared" si="97"/>
        <v>¤</v>
      </c>
      <c r="BG25" s="78" t="str">
        <f t="shared" si="97"/>
        <v>¤</v>
      </c>
      <c r="BH25" s="78" t="str">
        <f t="shared" si="97"/>
        <v>¤</v>
      </c>
      <c r="BI25" s="78" t="str">
        <f t="shared" si="97"/>
        <v>¤</v>
      </c>
      <c r="BJ25" s="78" t="str">
        <f t="shared" si="97"/>
        <v>¤</v>
      </c>
      <c r="BK25" s="78" t="str">
        <f t="shared" si="97"/>
        <v>¤</v>
      </c>
      <c r="BL25" s="78" t="str">
        <f t="shared" si="97"/>
        <v>¤</v>
      </c>
      <c r="BM25" s="78" t="str">
        <f t="shared" si="97"/>
        <v>¤</v>
      </c>
      <c r="BN25" s="78" t="str">
        <f t="shared" si="97"/>
        <v>¤</v>
      </c>
      <c r="BO25" s="78" t="str">
        <f t="shared" si="97"/>
        <v>¤</v>
      </c>
      <c r="BP25" s="78" t="str">
        <f t="shared" si="97"/>
        <v>¤</v>
      </c>
      <c r="BQ25" s="168" t="s">
        <v>271</v>
      </c>
      <c r="BR25" s="78" t="str">
        <f t="shared" ref="BR25:BT25" si="98">CHAR(164)</f>
        <v>¤</v>
      </c>
      <c r="BS25" s="78" t="str">
        <f t="shared" si="98"/>
        <v>¤</v>
      </c>
      <c r="BT25" s="78" t="str">
        <f t="shared" si="98"/>
        <v>¤</v>
      </c>
      <c r="BU25" s="90">
        <f t="shared" si="12"/>
        <v>28</v>
      </c>
      <c r="BV25" s="78"/>
      <c r="BW25" s="78"/>
      <c r="BX25" s="78"/>
      <c r="BY25" s="78"/>
      <c r="BZ25" s="78"/>
      <c r="CA25" s="78"/>
      <c r="CB25" s="78"/>
      <c r="CC25" s="78"/>
      <c r="CD25" s="78"/>
    </row>
    <row r="26" ht="9.0" customHeight="1">
      <c r="A26" s="90">
        <f t="shared" si="10"/>
        <v>27</v>
      </c>
      <c r="B26" s="78" t="str">
        <f t="shared" ref="B26:F26" si="99">CHAR(164)</f>
        <v>¤</v>
      </c>
      <c r="C26" s="78" t="str">
        <f t="shared" si="99"/>
        <v>¤</v>
      </c>
      <c r="D26" s="78" t="str">
        <f t="shared" si="99"/>
        <v>¤</v>
      </c>
      <c r="E26" s="78" t="str">
        <f t="shared" si="99"/>
        <v>¤</v>
      </c>
      <c r="F26" s="78" t="str">
        <f t="shared" si="99"/>
        <v>¤</v>
      </c>
      <c r="G26" s="112" t="s">
        <v>246</v>
      </c>
      <c r="H26" s="78" t="str">
        <f t="shared" ref="H26:P26" si="100">CHAR(164)</f>
        <v>¤</v>
      </c>
      <c r="I26" s="78" t="str">
        <f t="shared" si="100"/>
        <v>¤</v>
      </c>
      <c r="J26" s="78" t="str">
        <f t="shared" si="100"/>
        <v>¤</v>
      </c>
      <c r="K26" s="78" t="str">
        <f t="shared" si="100"/>
        <v>¤</v>
      </c>
      <c r="L26" s="78" t="str">
        <f t="shared" si="100"/>
        <v>¤</v>
      </c>
      <c r="M26" s="78" t="str">
        <f t="shared" si="100"/>
        <v>¤</v>
      </c>
      <c r="N26" s="78" t="str">
        <f t="shared" si="100"/>
        <v>¤</v>
      </c>
      <c r="O26" s="78" t="str">
        <f t="shared" si="100"/>
        <v>¤</v>
      </c>
      <c r="P26" s="78" t="str">
        <f t="shared" si="100"/>
        <v>¤</v>
      </c>
      <c r="Q26" s="149" t="s">
        <v>264</v>
      </c>
      <c r="R26" s="78" t="str">
        <f t="shared" ref="R26:AE26" si="101">CHAR(164)</f>
        <v>¤</v>
      </c>
      <c r="S26" s="78" t="str">
        <f t="shared" si="101"/>
        <v>¤</v>
      </c>
      <c r="T26" s="78" t="str">
        <f t="shared" si="101"/>
        <v>¤</v>
      </c>
      <c r="U26" s="78" t="str">
        <f t="shared" si="101"/>
        <v>¤</v>
      </c>
      <c r="V26" s="78" t="str">
        <f t="shared" si="101"/>
        <v>¤</v>
      </c>
      <c r="W26" s="78" t="str">
        <f t="shared" si="101"/>
        <v>¤</v>
      </c>
      <c r="X26" s="78" t="str">
        <f t="shared" si="101"/>
        <v>¤</v>
      </c>
      <c r="Y26" s="78" t="str">
        <f t="shared" si="101"/>
        <v>¤</v>
      </c>
      <c r="Z26" s="78" t="str">
        <f t="shared" si="101"/>
        <v>¤</v>
      </c>
      <c r="AA26" s="78" t="str">
        <f t="shared" si="101"/>
        <v>¤</v>
      </c>
      <c r="AB26" s="78" t="str">
        <f t="shared" si="101"/>
        <v>¤</v>
      </c>
      <c r="AC26" s="78" t="str">
        <f t="shared" si="101"/>
        <v>¤</v>
      </c>
      <c r="AD26" s="78" t="str">
        <f t="shared" si="101"/>
        <v>¤</v>
      </c>
      <c r="AE26" s="78" t="str">
        <f t="shared" si="101"/>
        <v>¤</v>
      </c>
      <c r="AF26" s="169" t="s">
        <v>272</v>
      </c>
      <c r="AG26" s="78" t="str">
        <f t="shared" ref="AG26:AO26" si="102">CHAR(164)</f>
        <v>¤</v>
      </c>
      <c r="AH26" s="78" t="str">
        <f t="shared" si="102"/>
        <v>¤</v>
      </c>
      <c r="AI26" s="78" t="str">
        <f t="shared" si="102"/>
        <v>¤</v>
      </c>
      <c r="AJ26" s="78" t="str">
        <f t="shared" si="102"/>
        <v>¤</v>
      </c>
      <c r="AK26" s="78" t="str">
        <f t="shared" si="102"/>
        <v>¤</v>
      </c>
      <c r="AL26" s="78" t="str">
        <f t="shared" si="102"/>
        <v>¤</v>
      </c>
      <c r="AM26" s="78" t="str">
        <f t="shared" si="102"/>
        <v>¤</v>
      </c>
      <c r="AN26" s="78" t="str">
        <f t="shared" si="102"/>
        <v>¤</v>
      </c>
      <c r="AO26" s="78" t="str">
        <f t="shared" si="102"/>
        <v>¤</v>
      </c>
      <c r="AP26" s="109" t="s">
        <v>241</v>
      </c>
      <c r="AQ26" s="78" t="str">
        <f t="shared" ref="AQ26:BF26" si="103">CHAR(164)</f>
        <v>¤</v>
      </c>
      <c r="AR26" s="78" t="str">
        <f t="shared" si="103"/>
        <v>¤</v>
      </c>
      <c r="AS26" s="78" t="str">
        <f t="shared" si="103"/>
        <v>¤</v>
      </c>
      <c r="AT26" s="78" t="str">
        <f t="shared" si="103"/>
        <v>¤</v>
      </c>
      <c r="AU26" s="78" t="str">
        <f t="shared" si="103"/>
        <v>¤</v>
      </c>
      <c r="AV26" s="78" t="str">
        <f t="shared" si="103"/>
        <v>¤</v>
      </c>
      <c r="AW26" s="78" t="str">
        <f t="shared" si="103"/>
        <v>¤</v>
      </c>
      <c r="AX26" s="78" t="str">
        <f t="shared" si="103"/>
        <v>¤</v>
      </c>
      <c r="AY26" s="78" t="str">
        <f t="shared" si="103"/>
        <v>¤</v>
      </c>
      <c r="AZ26" s="78" t="str">
        <f t="shared" si="103"/>
        <v>¤</v>
      </c>
      <c r="BA26" s="78" t="str">
        <f t="shared" si="103"/>
        <v>¤</v>
      </c>
      <c r="BB26" s="78" t="str">
        <f t="shared" si="103"/>
        <v>¤</v>
      </c>
      <c r="BC26" s="78" t="str">
        <f t="shared" si="103"/>
        <v>¤</v>
      </c>
      <c r="BD26" s="78" t="str">
        <f t="shared" si="103"/>
        <v>¤</v>
      </c>
      <c r="BE26" s="78" t="str">
        <f t="shared" si="103"/>
        <v>¤</v>
      </c>
      <c r="BF26" s="78" t="str">
        <f t="shared" si="103"/>
        <v>¤</v>
      </c>
      <c r="BG26" s="190" t="s">
        <v>259</v>
      </c>
      <c r="BH26" s="78" t="str">
        <f t="shared" ref="BH26:BP26" si="104">CHAR(164)</f>
        <v>¤</v>
      </c>
      <c r="BI26" s="78" t="str">
        <f t="shared" si="104"/>
        <v>¤</v>
      </c>
      <c r="BJ26" s="78" t="str">
        <f t="shared" si="104"/>
        <v>¤</v>
      </c>
      <c r="BK26" s="78" t="str">
        <f t="shared" si="104"/>
        <v>¤</v>
      </c>
      <c r="BL26" s="78" t="str">
        <f t="shared" si="104"/>
        <v>¤</v>
      </c>
      <c r="BM26" s="78" t="str">
        <f t="shared" si="104"/>
        <v>¤</v>
      </c>
      <c r="BN26" s="78" t="str">
        <f t="shared" si="104"/>
        <v>¤</v>
      </c>
      <c r="BO26" s="78" t="str">
        <f t="shared" si="104"/>
        <v>¤</v>
      </c>
      <c r="BP26" s="78" t="str">
        <f t="shared" si="104"/>
        <v>¤</v>
      </c>
      <c r="BQ26" s="168" t="s">
        <v>271</v>
      </c>
      <c r="BR26" s="78" t="str">
        <f t="shared" ref="BR26:BT26" si="105">CHAR(164)</f>
        <v>¤</v>
      </c>
      <c r="BS26" s="78" t="str">
        <f t="shared" si="105"/>
        <v>¤</v>
      </c>
      <c r="BT26" s="78" t="str">
        <f t="shared" si="105"/>
        <v>¤</v>
      </c>
      <c r="BU26" s="90">
        <f t="shared" si="12"/>
        <v>27</v>
      </c>
      <c r="BV26" s="78"/>
      <c r="BW26" s="78"/>
      <c r="BX26" s="78"/>
      <c r="BY26" s="78"/>
      <c r="BZ26" s="78"/>
      <c r="CA26" s="78"/>
      <c r="CB26" s="78"/>
      <c r="CC26" s="78"/>
      <c r="CD26" s="78"/>
    </row>
    <row r="27" ht="9.0" customHeight="1">
      <c r="A27" s="90">
        <f t="shared" si="10"/>
        <v>26</v>
      </c>
      <c r="B27" s="78" t="str">
        <f t="shared" ref="B27:F27" si="106">CHAR(164)</f>
        <v>¤</v>
      </c>
      <c r="C27" s="78" t="str">
        <f t="shared" si="106"/>
        <v>¤</v>
      </c>
      <c r="D27" s="78" t="str">
        <f t="shared" si="106"/>
        <v>¤</v>
      </c>
      <c r="E27" s="78" t="str">
        <f t="shared" si="106"/>
        <v>¤</v>
      </c>
      <c r="F27" s="78" t="str">
        <f t="shared" si="106"/>
        <v>¤</v>
      </c>
      <c r="G27" s="112" t="s">
        <v>246</v>
      </c>
      <c r="H27" s="78" t="str">
        <f t="shared" ref="H27:P27" si="107">CHAR(164)</f>
        <v>¤</v>
      </c>
      <c r="I27" s="78" t="str">
        <f t="shared" si="107"/>
        <v>¤</v>
      </c>
      <c r="J27" s="78" t="str">
        <f t="shared" si="107"/>
        <v>¤</v>
      </c>
      <c r="K27" s="78" t="str">
        <f t="shared" si="107"/>
        <v>¤</v>
      </c>
      <c r="L27" s="78" t="str">
        <f t="shared" si="107"/>
        <v>¤</v>
      </c>
      <c r="M27" s="78" t="str">
        <f t="shared" si="107"/>
        <v>¤</v>
      </c>
      <c r="N27" s="78" t="str">
        <f t="shared" si="107"/>
        <v>¤</v>
      </c>
      <c r="O27" s="78" t="str">
        <f t="shared" si="107"/>
        <v>¤</v>
      </c>
      <c r="P27" s="78" t="str">
        <f t="shared" si="107"/>
        <v>¤</v>
      </c>
      <c r="Q27" s="149" t="s">
        <v>264</v>
      </c>
      <c r="R27" s="78" t="str">
        <f t="shared" ref="R27:AE27" si="108">CHAR(164)</f>
        <v>¤</v>
      </c>
      <c r="S27" s="78" t="str">
        <f t="shared" si="108"/>
        <v>¤</v>
      </c>
      <c r="T27" s="78" t="str">
        <f t="shared" si="108"/>
        <v>¤</v>
      </c>
      <c r="U27" s="78" t="str">
        <f t="shared" si="108"/>
        <v>¤</v>
      </c>
      <c r="V27" s="78" t="str">
        <f t="shared" si="108"/>
        <v>¤</v>
      </c>
      <c r="W27" s="78" t="str">
        <f t="shared" si="108"/>
        <v>¤</v>
      </c>
      <c r="X27" s="78" t="str">
        <f t="shared" si="108"/>
        <v>¤</v>
      </c>
      <c r="Y27" s="78" t="str">
        <f t="shared" si="108"/>
        <v>¤</v>
      </c>
      <c r="Z27" s="78" t="str">
        <f t="shared" si="108"/>
        <v>¤</v>
      </c>
      <c r="AA27" s="78" t="str">
        <f t="shared" si="108"/>
        <v>¤</v>
      </c>
      <c r="AB27" s="78" t="str">
        <f t="shared" si="108"/>
        <v>¤</v>
      </c>
      <c r="AC27" s="78" t="str">
        <f t="shared" si="108"/>
        <v>¤</v>
      </c>
      <c r="AD27" s="78" t="str">
        <f t="shared" si="108"/>
        <v>¤</v>
      </c>
      <c r="AE27" s="78" t="str">
        <f t="shared" si="108"/>
        <v>¤</v>
      </c>
      <c r="AF27" s="169" t="s">
        <v>272</v>
      </c>
      <c r="AG27" s="78" t="str">
        <f t="shared" ref="AG27:AO27" si="109">CHAR(164)</f>
        <v>¤</v>
      </c>
      <c r="AH27" s="78" t="str">
        <f t="shared" si="109"/>
        <v>¤</v>
      </c>
      <c r="AI27" s="78" t="str">
        <f t="shared" si="109"/>
        <v>¤</v>
      </c>
      <c r="AJ27" s="78" t="str">
        <f t="shared" si="109"/>
        <v>¤</v>
      </c>
      <c r="AK27" s="78" t="str">
        <f t="shared" si="109"/>
        <v>¤</v>
      </c>
      <c r="AL27" s="78" t="str">
        <f t="shared" si="109"/>
        <v>¤</v>
      </c>
      <c r="AM27" s="78" t="str">
        <f t="shared" si="109"/>
        <v>¤</v>
      </c>
      <c r="AN27" s="78" t="str">
        <f t="shared" si="109"/>
        <v>¤</v>
      </c>
      <c r="AO27" s="78" t="str">
        <f t="shared" si="109"/>
        <v>¤</v>
      </c>
      <c r="AP27" s="109" t="s">
        <v>241</v>
      </c>
      <c r="AQ27" s="78" t="str">
        <f t="shared" ref="AQ27:BP27" si="110">CHAR(164)</f>
        <v>¤</v>
      </c>
      <c r="AR27" s="78" t="str">
        <f t="shared" si="110"/>
        <v>¤</v>
      </c>
      <c r="AS27" s="78" t="str">
        <f t="shared" si="110"/>
        <v>¤</v>
      </c>
      <c r="AT27" s="78" t="str">
        <f t="shared" si="110"/>
        <v>¤</v>
      </c>
      <c r="AU27" s="78" t="str">
        <f t="shared" si="110"/>
        <v>¤</v>
      </c>
      <c r="AV27" s="78" t="str">
        <f t="shared" si="110"/>
        <v>¤</v>
      </c>
      <c r="AW27" s="78" t="str">
        <f t="shared" si="110"/>
        <v>¤</v>
      </c>
      <c r="AX27" s="78" t="str">
        <f t="shared" si="110"/>
        <v>¤</v>
      </c>
      <c r="AY27" s="78" t="str">
        <f t="shared" si="110"/>
        <v>¤</v>
      </c>
      <c r="AZ27" s="78" t="str">
        <f t="shared" si="110"/>
        <v>¤</v>
      </c>
      <c r="BA27" s="78" t="str">
        <f t="shared" si="110"/>
        <v>¤</v>
      </c>
      <c r="BB27" s="78" t="str">
        <f t="shared" si="110"/>
        <v>¤</v>
      </c>
      <c r="BC27" s="78" t="str">
        <f t="shared" si="110"/>
        <v>¤</v>
      </c>
      <c r="BD27" s="78" t="str">
        <f t="shared" si="110"/>
        <v>¤</v>
      </c>
      <c r="BE27" s="78" t="str">
        <f t="shared" si="110"/>
        <v>¤</v>
      </c>
      <c r="BF27" s="78" t="str">
        <f t="shared" si="110"/>
        <v>¤</v>
      </c>
      <c r="BG27" s="78" t="str">
        <f t="shared" si="110"/>
        <v>¤</v>
      </c>
      <c r="BH27" s="78" t="str">
        <f t="shared" si="110"/>
        <v>¤</v>
      </c>
      <c r="BI27" s="78" t="str">
        <f t="shared" si="110"/>
        <v>¤</v>
      </c>
      <c r="BJ27" s="78" t="str">
        <f t="shared" si="110"/>
        <v>¤</v>
      </c>
      <c r="BK27" s="78" t="str">
        <f t="shared" si="110"/>
        <v>¤</v>
      </c>
      <c r="BL27" s="78" t="str">
        <f t="shared" si="110"/>
        <v>¤</v>
      </c>
      <c r="BM27" s="78" t="str">
        <f t="shared" si="110"/>
        <v>¤</v>
      </c>
      <c r="BN27" s="78" t="str">
        <f t="shared" si="110"/>
        <v>¤</v>
      </c>
      <c r="BO27" s="78" t="str">
        <f t="shared" si="110"/>
        <v>¤</v>
      </c>
      <c r="BP27" s="78" t="str">
        <f t="shared" si="110"/>
        <v>¤</v>
      </c>
      <c r="BQ27" s="168" t="s">
        <v>271</v>
      </c>
      <c r="BR27" s="78" t="str">
        <f t="shared" ref="BR27:BT27" si="111">CHAR(164)</f>
        <v>¤</v>
      </c>
      <c r="BS27" s="78" t="str">
        <f t="shared" si="111"/>
        <v>¤</v>
      </c>
      <c r="BT27" s="78" t="str">
        <f t="shared" si="111"/>
        <v>¤</v>
      </c>
      <c r="BU27" s="90">
        <f t="shared" si="12"/>
        <v>26</v>
      </c>
      <c r="BV27" s="78"/>
      <c r="BW27" s="78"/>
      <c r="BX27" s="78"/>
      <c r="BY27" s="78"/>
      <c r="BZ27" s="78"/>
      <c r="CA27" s="78"/>
      <c r="CB27" s="78"/>
      <c r="CC27" s="78"/>
      <c r="CD27" s="78"/>
    </row>
    <row r="28" ht="9.0" customHeight="1">
      <c r="A28" s="90">
        <f t="shared" si="10"/>
        <v>25</v>
      </c>
      <c r="B28" s="78" t="str">
        <f t="shared" ref="B28:F28" si="112">CHAR(164)</f>
        <v>¤</v>
      </c>
      <c r="C28" s="78" t="str">
        <f t="shared" si="112"/>
        <v>¤</v>
      </c>
      <c r="D28" s="78" t="str">
        <f t="shared" si="112"/>
        <v>¤</v>
      </c>
      <c r="E28" s="78" t="str">
        <f t="shared" si="112"/>
        <v>¤</v>
      </c>
      <c r="F28" s="78" t="str">
        <f t="shared" si="112"/>
        <v>¤</v>
      </c>
      <c r="G28" s="112" t="s">
        <v>246</v>
      </c>
      <c r="H28" s="78" t="str">
        <f t="shared" ref="H28:P28" si="113">CHAR(164)</f>
        <v>¤</v>
      </c>
      <c r="I28" s="78" t="str">
        <f t="shared" si="113"/>
        <v>¤</v>
      </c>
      <c r="J28" s="78" t="str">
        <f t="shared" si="113"/>
        <v>¤</v>
      </c>
      <c r="K28" s="78" t="str">
        <f t="shared" si="113"/>
        <v>¤</v>
      </c>
      <c r="L28" s="78" t="str">
        <f t="shared" si="113"/>
        <v>¤</v>
      </c>
      <c r="M28" s="78" t="str">
        <f t="shared" si="113"/>
        <v>¤</v>
      </c>
      <c r="N28" s="78" t="str">
        <f t="shared" si="113"/>
        <v>¤</v>
      </c>
      <c r="O28" s="78" t="str">
        <f t="shared" si="113"/>
        <v>¤</v>
      </c>
      <c r="P28" s="78" t="str">
        <f t="shared" si="113"/>
        <v>¤</v>
      </c>
      <c r="Q28" s="149" t="s">
        <v>264</v>
      </c>
      <c r="R28" s="78" t="str">
        <f t="shared" ref="R28:Z28" si="114">CHAR(164)</f>
        <v>¤</v>
      </c>
      <c r="S28" s="78" t="str">
        <f t="shared" si="114"/>
        <v>¤</v>
      </c>
      <c r="T28" s="78" t="str">
        <f t="shared" si="114"/>
        <v>¤</v>
      </c>
      <c r="U28" s="78" t="str">
        <f t="shared" si="114"/>
        <v>¤</v>
      </c>
      <c r="V28" s="78" t="str">
        <f t="shared" si="114"/>
        <v>¤</v>
      </c>
      <c r="W28" s="78" t="str">
        <f t="shared" si="114"/>
        <v>¤</v>
      </c>
      <c r="X28" s="78" t="str">
        <f t="shared" si="114"/>
        <v>¤</v>
      </c>
      <c r="Y28" s="78" t="str">
        <f t="shared" si="114"/>
        <v>¤</v>
      </c>
      <c r="Z28" s="78" t="str">
        <f t="shared" si="114"/>
        <v>¤</v>
      </c>
      <c r="AA28" s="169" t="s">
        <v>272</v>
      </c>
      <c r="AB28" s="169" t="s">
        <v>272</v>
      </c>
      <c r="AC28" s="169" t="s">
        <v>272</v>
      </c>
      <c r="AD28" s="169" t="s">
        <v>272</v>
      </c>
      <c r="AE28" s="169" t="s">
        <v>272</v>
      </c>
      <c r="AF28" s="169" t="s">
        <v>272</v>
      </c>
      <c r="AG28" s="78" t="str">
        <f t="shared" ref="AG28:AO28" si="115">CHAR(164)</f>
        <v>¤</v>
      </c>
      <c r="AH28" s="78" t="str">
        <f t="shared" si="115"/>
        <v>¤</v>
      </c>
      <c r="AI28" s="78" t="str">
        <f t="shared" si="115"/>
        <v>¤</v>
      </c>
      <c r="AJ28" s="78" t="str">
        <f t="shared" si="115"/>
        <v>¤</v>
      </c>
      <c r="AK28" s="78" t="str">
        <f t="shared" si="115"/>
        <v>¤</v>
      </c>
      <c r="AL28" s="78" t="str">
        <f t="shared" si="115"/>
        <v>¤</v>
      </c>
      <c r="AM28" s="78" t="str">
        <f t="shared" si="115"/>
        <v>¤</v>
      </c>
      <c r="AN28" s="78" t="str">
        <f t="shared" si="115"/>
        <v>¤</v>
      </c>
      <c r="AO28" s="78" t="str">
        <f t="shared" si="115"/>
        <v>¤</v>
      </c>
      <c r="AP28" s="109" t="s">
        <v>241</v>
      </c>
      <c r="AQ28" s="78" t="str">
        <f t="shared" ref="AQ28:BD28" si="116">CHAR(164)</f>
        <v>¤</v>
      </c>
      <c r="AR28" s="78" t="str">
        <f t="shared" si="116"/>
        <v>¤</v>
      </c>
      <c r="AS28" s="78" t="str">
        <f t="shared" si="116"/>
        <v>¤</v>
      </c>
      <c r="AT28" s="78" t="str">
        <f t="shared" si="116"/>
        <v>¤</v>
      </c>
      <c r="AU28" s="78" t="str">
        <f t="shared" si="116"/>
        <v>¤</v>
      </c>
      <c r="AV28" s="78" t="str">
        <f t="shared" si="116"/>
        <v>¤</v>
      </c>
      <c r="AW28" s="78" t="str">
        <f t="shared" si="116"/>
        <v>¤</v>
      </c>
      <c r="AX28" s="78" t="str">
        <f t="shared" si="116"/>
        <v>¤</v>
      </c>
      <c r="AY28" s="78" t="str">
        <f t="shared" si="116"/>
        <v>¤</v>
      </c>
      <c r="AZ28" s="78" t="str">
        <f t="shared" si="116"/>
        <v>¤</v>
      </c>
      <c r="BA28" s="78" t="str">
        <f t="shared" si="116"/>
        <v>¤</v>
      </c>
      <c r="BB28" s="78" t="str">
        <f t="shared" si="116"/>
        <v>¤</v>
      </c>
      <c r="BC28" s="78" t="str">
        <f t="shared" si="116"/>
        <v>¤</v>
      </c>
      <c r="BD28" s="78" t="str">
        <f t="shared" si="116"/>
        <v>¤</v>
      </c>
      <c r="BE28" s="187" t="s">
        <v>281</v>
      </c>
      <c r="BF28" s="78" t="str">
        <f t="shared" ref="BF28:BI28" si="117">CHAR(164)</f>
        <v>¤</v>
      </c>
      <c r="BG28" s="78" t="str">
        <f t="shared" si="117"/>
        <v>¤</v>
      </c>
      <c r="BH28" s="78" t="str">
        <f t="shared" si="117"/>
        <v>¤</v>
      </c>
      <c r="BI28" s="78" t="str">
        <f t="shared" si="117"/>
        <v>¤</v>
      </c>
      <c r="BJ28" s="156" t="s">
        <v>265</v>
      </c>
      <c r="BK28" s="78" t="str">
        <f t="shared" ref="BK28:BP28" si="118">CHAR(164)</f>
        <v>¤</v>
      </c>
      <c r="BL28" s="78" t="str">
        <f t="shared" si="118"/>
        <v>¤</v>
      </c>
      <c r="BM28" s="78" t="str">
        <f t="shared" si="118"/>
        <v>¤</v>
      </c>
      <c r="BN28" s="78" t="str">
        <f t="shared" si="118"/>
        <v>¤</v>
      </c>
      <c r="BO28" s="78" t="str">
        <f t="shared" si="118"/>
        <v>¤</v>
      </c>
      <c r="BP28" s="78" t="str">
        <f t="shared" si="118"/>
        <v>¤</v>
      </c>
      <c r="BQ28" s="168" t="s">
        <v>271</v>
      </c>
      <c r="BR28" s="78" t="str">
        <f t="shared" ref="BR28:BT28" si="119">CHAR(164)</f>
        <v>¤</v>
      </c>
      <c r="BS28" s="78" t="str">
        <f t="shared" si="119"/>
        <v>¤</v>
      </c>
      <c r="BT28" s="78" t="str">
        <f t="shared" si="119"/>
        <v>¤</v>
      </c>
      <c r="BU28" s="90">
        <f t="shared" si="12"/>
        <v>25</v>
      </c>
      <c r="BV28" s="78"/>
      <c r="BW28" s="78"/>
      <c r="BX28" s="78"/>
      <c r="BY28" s="78"/>
      <c r="BZ28" s="78"/>
      <c r="CA28" s="78"/>
      <c r="CB28" s="78"/>
      <c r="CC28" s="78"/>
      <c r="CD28" s="78"/>
    </row>
    <row r="29" ht="9.0" customHeight="1">
      <c r="A29" s="90">
        <f t="shared" si="10"/>
        <v>24</v>
      </c>
      <c r="B29" s="78" t="str">
        <f t="shared" ref="B29:F29" si="120">CHAR(164)</f>
        <v>¤</v>
      </c>
      <c r="C29" s="78" t="str">
        <f t="shared" si="120"/>
        <v>¤</v>
      </c>
      <c r="D29" s="78" t="str">
        <f t="shared" si="120"/>
        <v>¤</v>
      </c>
      <c r="E29" s="78" t="str">
        <f t="shared" si="120"/>
        <v>¤</v>
      </c>
      <c r="F29" s="78" t="str">
        <f t="shared" si="120"/>
        <v>¤</v>
      </c>
      <c r="G29" s="112" t="s">
        <v>246</v>
      </c>
      <c r="H29" s="78" t="str">
        <f t="shared" ref="H29:AO29" si="121">CHAR(164)</f>
        <v>¤</v>
      </c>
      <c r="I29" s="78" t="str">
        <f t="shared" si="121"/>
        <v>¤</v>
      </c>
      <c r="J29" s="78" t="str">
        <f t="shared" si="121"/>
        <v>¤</v>
      </c>
      <c r="K29" s="78" t="str">
        <f t="shared" si="121"/>
        <v>¤</v>
      </c>
      <c r="L29" s="78" t="str">
        <f t="shared" si="121"/>
        <v>¤</v>
      </c>
      <c r="M29" s="78" t="str">
        <f t="shared" si="121"/>
        <v>¤</v>
      </c>
      <c r="N29" s="78" t="str">
        <f t="shared" si="121"/>
        <v>¤</v>
      </c>
      <c r="O29" s="78" t="str">
        <f t="shared" si="121"/>
        <v>¤</v>
      </c>
      <c r="P29" s="78" t="str">
        <f t="shared" si="121"/>
        <v>¤</v>
      </c>
      <c r="Q29" s="78" t="str">
        <f t="shared" si="121"/>
        <v>¤</v>
      </c>
      <c r="R29" s="78" t="str">
        <f t="shared" si="121"/>
        <v>¤</v>
      </c>
      <c r="S29" s="78" t="str">
        <f t="shared" si="121"/>
        <v>¤</v>
      </c>
      <c r="T29" s="78" t="str">
        <f t="shared" si="121"/>
        <v>¤</v>
      </c>
      <c r="U29" s="78" t="str">
        <f t="shared" si="121"/>
        <v>¤</v>
      </c>
      <c r="V29" s="78" t="str">
        <f t="shared" si="121"/>
        <v>¤</v>
      </c>
      <c r="W29" s="78" t="str">
        <f t="shared" si="121"/>
        <v>¤</v>
      </c>
      <c r="X29" s="78" t="str">
        <f t="shared" si="121"/>
        <v>¤</v>
      </c>
      <c r="Y29" s="78" t="str">
        <f t="shared" si="121"/>
        <v>¤</v>
      </c>
      <c r="Z29" s="78" t="str">
        <f t="shared" si="121"/>
        <v>¤</v>
      </c>
      <c r="AA29" s="78" t="str">
        <f t="shared" si="121"/>
        <v>¤</v>
      </c>
      <c r="AB29" s="78" t="str">
        <f t="shared" si="121"/>
        <v>¤</v>
      </c>
      <c r="AC29" s="78" t="str">
        <f t="shared" si="121"/>
        <v>¤</v>
      </c>
      <c r="AD29" s="78" t="str">
        <f t="shared" si="121"/>
        <v>¤</v>
      </c>
      <c r="AE29" s="78" t="str">
        <f t="shared" si="121"/>
        <v>¤</v>
      </c>
      <c r="AF29" s="78" t="str">
        <f t="shared" si="121"/>
        <v>¤</v>
      </c>
      <c r="AG29" s="78" t="str">
        <f t="shared" si="121"/>
        <v>¤</v>
      </c>
      <c r="AH29" s="78" t="str">
        <f t="shared" si="121"/>
        <v>¤</v>
      </c>
      <c r="AI29" s="78" t="str">
        <f t="shared" si="121"/>
        <v>¤</v>
      </c>
      <c r="AJ29" s="78" t="str">
        <f t="shared" si="121"/>
        <v>¤</v>
      </c>
      <c r="AK29" s="78" t="str">
        <f t="shared" si="121"/>
        <v>¤</v>
      </c>
      <c r="AL29" s="78" t="str">
        <f t="shared" si="121"/>
        <v>¤</v>
      </c>
      <c r="AM29" s="78" t="str">
        <f t="shared" si="121"/>
        <v>¤</v>
      </c>
      <c r="AN29" s="78" t="str">
        <f t="shared" si="121"/>
        <v>¤</v>
      </c>
      <c r="AO29" s="78" t="str">
        <f t="shared" si="121"/>
        <v>¤</v>
      </c>
      <c r="AP29" s="109" t="s">
        <v>241</v>
      </c>
      <c r="AQ29" s="78" t="str">
        <f t="shared" ref="AQ29:BD29" si="122">CHAR(164)</f>
        <v>¤</v>
      </c>
      <c r="AR29" s="78" t="str">
        <f t="shared" si="122"/>
        <v>¤</v>
      </c>
      <c r="AS29" s="78" t="str">
        <f t="shared" si="122"/>
        <v>¤</v>
      </c>
      <c r="AT29" s="78" t="str">
        <f t="shared" si="122"/>
        <v>¤</v>
      </c>
      <c r="AU29" s="78" t="str">
        <f t="shared" si="122"/>
        <v>¤</v>
      </c>
      <c r="AV29" s="78" t="str">
        <f t="shared" si="122"/>
        <v>¤</v>
      </c>
      <c r="AW29" s="78" t="str">
        <f t="shared" si="122"/>
        <v>¤</v>
      </c>
      <c r="AX29" s="78" t="str">
        <f t="shared" si="122"/>
        <v>¤</v>
      </c>
      <c r="AY29" s="78" t="str">
        <f t="shared" si="122"/>
        <v>¤</v>
      </c>
      <c r="AZ29" s="78" t="str">
        <f t="shared" si="122"/>
        <v>¤</v>
      </c>
      <c r="BA29" s="78" t="str">
        <f t="shared" si="122"/>
        <v>¤</v>
      </c>
      <c r="BB29" s="78" t="str">
        <f t="shared" si="122"/>
        <v>¤</v>
      </c>
      <c r="BC29" s="78" t="str">
        <f t="shared" si="122"/>
        <v>¤</v>
      </c>
      <c r="BD29" s="78" t="str">
        <f t="shared" si="122"/>
        <v>¤</v>
      </c>
      <c r="BE29" s="187" t="s">
        <v>281</v>
      </c>
      <c r="BF29" s="78" t="str">
        <f t="shared" ref="BF29:BI29" si="123">CHAR(164)</f>
        <v>¤</v>
      </c>
      <c r="BG29" s="78" t="str">
        <f t="shared" si="123"/>
        <v>¤</v>
      </c>
      <c r="BH29" s="78" t="str">
        <f t="shared" si="123"/>
        <v>¤</v>
      </c>
      <c r="BI29" s="78" t="str">
        <f t="shared" si="123"/>
        <v>¤</v>
      </c>
      <c r="BJ29" s="156" t="s">
        <v>265</v>
      </c>
      <c r="BK29" s="78" t="str">
        <f t="shared" ref="BK29:BP29" si="124">CHAR(164)</f>
        <v>¤</v>
      </c>
      <c r="BL29" s="78" t="str">
        <f t="shared" si="124"/>
        <v>¤</v>
      </c>
      <c r="BM29" s="78" t="str">
        <f t="shared" si="124"/>
        <v>¤</v>
      </c>
      <c r="BN29" s="78" t="str">
        <f t="shared" si="124"/>
        <v>¤</v>
      </c>
      <c r="BO29" s="78" t="str">
        <f t="shared" si="124"/>
        <v>¤</v>
      </c>
      <c r="BP29" s="78" t="str">
        <f t="shared" si="124"/>
        <v>¤</v>
      </c>
      <c r="BQ29" s="168" t="s">
        <v>271</v>
      </c>
      <c r="BR29" s="78" t="str">
        <f t="shared" ref="BR29:BT29" si="125">CHAR(164)</f>
        <v>¤</v>
      </c>
      <c r="BS29" s="78" t="str">
        <f t="shared" si="125"/>
        <v>¤</v>
      </c>
      <c r="BT29" s="78" t="str">
        <f t="shared" si="125"/>
        <v>¤</v>
      </c>
      <c r="BU29" s="90">
        <f t="shared" si="12"/>
        <v>24</v>
      </c>
      <c r="BV29" s="78"/>
      <c r="BW29" s="78"/>
      <c r="BX29" s="78"/>
      <c r="BY29" s="78"/>
      <c r="BZ29" s="78"/>
      <c r="CA29" s="78"/>
      <c r="CB29" s="78"/>
      <c r="CC29" s="78"/>
      <c r="CD29" s="78"/>
    </row>
    <row r="30" ht="9.0" customHeight="1">
      <c r="A30" s="90">
        <f t="shared" si="10"/>
        <v>23</v>
      </c>
      <c r="B30" s="78" t="str">
        <f t="shared" ref="B30:F30" si="126">CHAR(164)</f>
        <v>¤</v>
      </c>
      <c r="C30" s="78" t="str">
        <f t="shared" si="126"/>
        <v>¤</v>
      </c>
      <c r="D30" s="78" t="str">
        <f t="shared" si="126"/>
        <v>¤</v>
      </c>
      <c r="E30" s="78" t="str">
        <f t="shared" si="126"/>
        <v>¤</v>
      </c>
      <c r="F30" s="78" t="str">
        <f t="shared" si="126"/>
        <v>¤</v>
      </c>
      <c r="G30" s="112" t="s">
        <v>246</v>
      </c>
      <c r="H30" s="78" t="str">
        <f t="shared" ref="H30:I30" si="127">CHAR(164)</f>
        <v>¤</v>
      </c>
      <c r="I30" s="78" t="str">
        <f t="shared" si="127"/>
        <v>¤</v>
      </c>
      <c r="J30" s="143" t="s">
        <v>262</v>
      </c>
      <c r="K30" s="143" t="s">
        <v>262</v>
      </c>
      <c r="L30" s="143" t="s">
        <v>262</v>
      </c>
      <c r="M30" s="143" t="s">
        <v>262</v>
      </c>
      <c r="N30" s="143" t="s">
        <v>262</v>
      </c>
      <c r="O30" s="143" t="s">
        <v>262</v>
      </c>
      <c r="P30" s="143" t="s">
        <v>262</v>
      </c>
      <c r="Q30" s="143" t="s">
        <v>262</v>
      </c>
      <c r="R30" s="143" t="s">
        <v>262</v>
      </c>
      <c r="S30" s="143" t="s">
        <v>262</v>
      </c>
      <c r="T30" s="143" t="s">
        <v>262</v>
      </c>
      <c r="U30" s="143" t="s">
        <v>262</v>
      </c>
      <c r="V30" s="143" t="s">
        <v>262</v>
      </c>
      <c r="W30" s="78" t="str">
        <f t="shared" ref="W30:AO30" si="128">CHAR(164)</f>
        <v>¤</v>
      </c>
      <c r="X30" s="78" t="str">
        <f t="shared" si="128"/>
        <v>¤</v>
      </c>
      <c r="Y30" s="78" t="str">
        <f t="shared" si="128"/>
        <v>¤</v>
      </c>
      <c r="Z30" s="78" t="str">
        <f t="shared" si="128"/>
        <v>¤</v>
      </c>
      <c r="AA30" s="78" t="str">
        <f t="shared" si="128"/>
        <v>¤</v>
      </c>
      <c r="AB30" s="78" t="str">
        <f t="shared" si="128"/>
        <v>¤</v>
      </c>
      <c r="AC30" s="78" t="str">
        <f t="shared" si="128"/>
        <v>¤</v>
      </c>
      <c r="AD30" s="78" t="str">
        <f t="shared" si="128"/>
        <v>¤</v>
      </c>
      <c r="AE30" s="78" t="str">
        <f t="shared" si="128"/>
        <v>¤</v>
      </c>
      <c r="AF30" s="78" t="str">
        <f t="shared" si="128"/>
        <v>¤</v>
      </c>
      <c r="AG30" s="78" t="str">
        <f t="shared" si="128"/>
        <v>¤</v>
      </c>
      <c r="AH30" s="78" t="str">
        <f t="shared" si="128"/>
        <v>¤</v>
      </c>
      <c r="AI30" s="78" t="str">
        <f t="shared" si="128"/>
        <v>¤</v>
      </c>
      <c r="AJ30" s="78" t="str">
        <f t="shared" si="128"/>
        <v>¤</v>
      </c>
      <c r="AK30" s="78" t="str">
        <f t="shared" si="128"/>
        <v>¤</v>
      </c>
      <c r="AL30" s="78" t="str">
        <f t="shared" si="128"/>
        <v>¤</v>
      </c>
      <c r="AM30" s="78" t="str">
        <f t="shared" si="128"/>
        <v>¤</v>
      </c>
      <c r="AN30" s="78" t="str">
        <f t="shared" si="128"/>
        <v>¤</v>
      </c>
      <c r="AO30" s="78" t="str">
        <f t="shared" si="128"/>
        <v>¤</v>
      </c>
      <c r="AP30" s="109" t="s">
        <v>241</v>
      </c>
      <c r="AQ30" s="78" t="str">
        <f t="shared" ref="AQ30:BD30" si="129">CHAR(164)</f>
        <v>¤</v>
      </c>
      <c r="AR30" s="78" t="str">
        <f t="shared" si="129"/>
        <v>¤</v>
      </c>
      <c r="AS30" s="78" t="str">
        <f t="shared" si="129"/>
        <v>¤</v>
      </c>
      <c r="AT30" s="78" t="str">
        <f t="shared" si="129"/>
        <v>¤</v>
      </c>
      <c r="AU30" s="78" t="str">
        <f t="shared" si="129"/>
        <v>¤</v>
      </c>
      <c r="AV30" s="78" t="str">
        <f t="shared" si="129"/>
        <v>¤</v>
      </c>
      <c r="AW30" s="78" t="str">
        <f t="shared" si="129"/>
        <v>¤</v>
      </c>
      <c r="AX30" s="78" t="str">
        <f t="shared" si="129"/>
        <v>¤</v>
      </c>
      <c r="AY30" s="78" t="str">
        <f t="shared" si="129"/>
        <v>¤</v>
      </c>
      <c r="AZ30" s="78" t="str">
        <f t="shared" si="129"/>
        <v>¤</v>
      </c>
      <c r="BA30" s="78" t="str">
        <f t="shared" si="129"/>
        <v>¤</v>
      </c>
      <c r="BB30" s="78" t="str">
        <f t="shared" si="129"/>
        <v>¤</v>
      </c>
      <c r="BC30" s="78" t="str">
        <f t="shared" si="129"/>
        <v>¤</v>
      </c>
      <c r="BD30" s="78" t="str">
        <f t="shared" si="129"/>
        <v>¤</v>
      </c>
      <c r="BE30" s="187" t="s">
        <v>281</v>
      </c>
      <c r="BF30" s="78" t="str">
        <f t="shared" ref="BF30:BI30" si="130">CHAR(164)</f>
        <v>¤</v>
      </c>
      <c r="BG30" s="78" t="str">
        <f t="shared" si="130"/>
        <v>¤</v>
      </c>
      <c r="BH30" s="78" t="str">
        <f t="shared" si="130"/>
        <v>¤</v>
      </c>
      <c r="BI30" s="78" t="str">
        <f t="shared" si="130"/>
        <v>¤</v>
      </c>
      <c r="BJ30" s="156" t="s">
        <v>265</v>
      </c>
      <c r="BK30" s="78" t="str">
        <f t="shared" ref="BK30:BP30" si="131">CHAR(164)</f>
        <v>¤</v>
      </c>
      <c r="BL30" s="78" t="str">
        <f t="shared" si="131"/>
        <v>¤</v>
      </c>
      <c r="BM30" s="78" t="str">
        <f t="shared" si="131"/>
        <v>¤</v>
      </c>
      <c r="BN30" s="78" t="str">
        <f t="shared" si="131"/>
        <v>¤</v>
      </c>
      <c r="BO30" s="78" t="str">
        <f t="shared" si="131"/>
        <v>¤</v>
      </c>
      <c r="BP30" s="78" t="str">
        <f t="shared" si="131"/>
        <v>¤</v>
      </c>
      <c r="BQ30" s="168" t="s">
        <v>271</v>
      </c>
      <c r="BR30" s="78" t="str">
        <f t="shared" ref="BR30:BT30" si="132">CHAR(164)</f>
        <v>¤</v>
      </c>
      <c r="BS30" s="78" t="str">
        <f t="shared" si="132"/>
        <v>¤</v>
      </c>
      <c r="BT30" s="78" t="str">
        <f t="shared" si="132"/>
        <v>¤</v>
      </c>
      <c r="BU30" s="90">
        <f t="shared" si="12"/>
        <v>23</v>
      </c>
      <c r="BV30" s="78"/>
      <c r="BW30" s="78"/>
      <c r="BX30" s="78"/>
      <c r="BY30" s="78"/>
      <c r="BZ30" s="78"/>
      <c r="CA30" s="78"/>
      <c r="CB30" s="78"/>
      <c r="CC30" s="78"/>
      <c r="CD30" s="78"/>
    </row>
    <row r="31" ht="9.0" customHeight="1">
      <c r="A31" s="90">
        <f t="shared" si="10"/>
        <v>22</v>
      </c>
      <c r="B31" s="78" t="str">
        <f t="shared" ref="B31:F31" si="133">CHAR(164)</f>
        <v>¤</v>
      </c>
      <c r="C31" s="78" t="str">
        <f t="shared" si="133"/>
        <v>¤</v>
      </c>
      <c r="D31" s="78" t="str">
        <f t="shared" si="133"/>
        <v>¤</v>
      </c>
      <c r="E31" s="78" t="str">
        <f t="shared" si="133"/>
        <v>¤</v>
      </c>
      <c r="F31" s="78" t="str">
        <f t="shared" si="133"/>
        <v>¤</v>
      </c>
      <c r="G31" s="112" t="s">
        <v>246</v>
      </c>
      <c r="H31" s="78" t="str">
        <f t="shared" ref="H31:I31" si="134">CHAR(164)</f>
        <v>¤</v>
      </c>
      <c r="I31" s="78" t="str">
        <f t="shared" si="134"/>
        <v>¤</v>
      </c>
      <c r="J31" s="143" t="s">
        <v>262</v>
      </c>
      <c r="K31" s="78" t="str">
        <f t="shared" ref="K31:AO31" si="135">CHAR(164)</f>
        <v>¤</v>
      </c>
      <c r="L31" s="78" t="str">
        <f t="shared" si="135"/>
        <v>¤</v>
      </c>
      <c r="M31" s="78" t="str">
        <f t="shared" si="135"/>
        <v>¤</v>
      </c>
      <c r="N31" s="78" t="str">
        <f t="shared" si="135"/>
        <v>¤</v>
      </c>
      <c r="O31" s="78" t="str">
        <f t="shared" si="135"/>
        <v>¤</v>
      </c>
      <c r="P31" s="78" t="str">
        <f t="shared" si="135"/>
        <v>¤</v>
      </c>
      <c r="Q31" s="78" t="str">
        <f t="shared" si="135"/>
        <v>¤</v>
      </c>
      <c r="R31" s="78" t="str">
        <f t="shared" si="135"/>
        <v>¤</v>
      </c>
      <c r="S31" s="78" t="str">
        <f t="shared" si="135"/>
        <v>¤</v>
      </c>
      <c r="T31" s="78" t="str">
        <f t="shared" si="135"/>
        <v>¤</v>
      </c>
      <c r="U31" s="78" t="str">
        <f t="shared" si="135"/>
        <v>¤</v>
      </c>
      <c r="V31" s="78" t="str">
        <f t="shared" si="135"/>
        <v>¤</v>
      </c>
      <c r="W31" s="78" t="str">
        <f t="shared" si="135"/>
        <v>¤</v>
      </c>
      <c r="X31" s="78" t="str">
        <f t="shared" si="135"/>
        <v>¤</v>
      </c>
      <c r="Y31" s="78" t="str">
        <f t="shared" si="135"/>
        <v>¤</v>
      </c>
      <c r="Z31" s="78" t="str">
        <f t="shared" si="135"/>
        <v>¤</v>
      </c>
      <c r="AA31" s="78" t="str">
        <f t="shared" si="135"/>
        <v>¤</v>
      </c>
      <c r="AB31" s="78" t="str">
        <f t="shared" si="135"/>
        <v>¤</v>
      </c>
      <c r="AC31" s="78" t="str">
        <f t="shared" si="135"/>
        <v>¤</v>
      </c>
      <c r="AD31" s="78" t="str">
        <f t="shared" si="135"/>
        <v>¤</v>
      </c>
      <c r="AE31" s="78" t="str">
        <f t="shared" si="135"/>
        <v>¤</v>
      </c>
      <c r="AF31" s="78" t="str">
        <f t="shared" si="135"/>
        <v>¤</v>
      </c>
      <c r="AG31" s="78" t="str">
        <f t="shared" si="135"/>
        <v>¤</v>
      </c>
      <c r="AH31" s="78" t="str">
        <f t="shared" si="135"/>
        <v>¤</v>
      </c>
      <c r="AI31" s="78" t="str">
        <f t="shared" si="135"/>
        <v>¤</v>
      </c>
      <c r="AJ31" s="78" t="str">
        <f t="shared" si="135"/>
        <v>¤</v>
      </c>
      <c r="AK31" s="78" t="str">
        <f t="shared" si="135"/>
        <v>¤</v>
      </c>
      <c r="AL31" s="78" t="str">
        <f t="shared" si="135"/>
        <v>¤</v>
      </c>
      <c r="AM31" s="78" t="str">
        <f t="shared" si="135"/>
        <v>¤</v>
      </c>
      <c r="AN31" s="78" t="str">
        <f t="shared" si="135"/>
        <v>¤</v>
      </c>
      <c r="AO31" s="78" t="str">
        <f t="shared" si="135"/>
        <v>¤</v>
      </c>
      <c r="AP31" s="109" t="s">
        <v>241</v>
      </c>
      <c r="AQ31" s="78" t="str">
        <f t="shared" ref="AQ31:BD31" si="136">CHAR(164)</f>
        <v>¤</v>
      </c>
      <c r="AR31" s="78" t="str">
        <f t="shared" si="136"/>
        <v>¤</v>
      </c>
      <c r="AS31" s="78" t="str">
        <f t="shared" si="136"/>
        <v>¤</v>
      </c>
      <c r="AT31" s="78" t="str">
        <f t="shared" si="136"/>
        <v>¤</v>
      </c>
      <c r="AU31" s="78" t="str">
        <f t="shared" si="136"/>
        <v>¤</v>
      </c>
      <c r="AV31" s="78" t="str">
        <f t="shared" si="136"/>
        <v>¤</v>
      </c>
      <c r="AW31" s="78" t="str">
        <f t="shared" si="136"/>
        <v>¤</v>
      </c>
      <c r="AX31" s="78" t="str">
        <f t="shared" si="136"/>
        <v>¤</v>
      </c>
      <c r="AY31" s="78" t="str">
        <f t="shared" si="136"/>
        <v>¤</v>
      </c>
      <c r="AZ31" s="78" t="str">
        <f t="shared" si="136"/>
        <v>¤</v>
      </c>
      <c r="BA31" s="78" t="str">
        <f t="shared" si="136"/>
        <v>¤</v>
      </c>
      <c r="BB31" s="78" t="str">
        <f t="shared" si="136"/>
        <v>¤</v>
      </c>
      <c r="BC31" s="78" t="str">
        <f t="shared" si="136"/>
        <v>¤</v>
      </c>
      <c r="BD31" s="78" t="str">
        <f t="shared" si="136"/>
        <v>¤</v>
      </c>
      <c r="BE31" s="187" t="s">
        <v>281</v>
      </c>
      <c r="BF31" s="78" t="str">
        <f t="shared" ref="BF31:BI31" si="137">CHAR(164)</f>
        <v>¤</v>
      </c>
      <c r="BG31" s="78" t="str">
        <f t="shared" si="137"/>
        <v>¤</v>
      </c>
      <c r="BH31" s="78" t="str">
        <f t="shared" si="137"/>
        <v>¤</v>
      </c>
      <c r="BI31" s="78" t="str">
        <f t="shared" si="137"/>
        <v>¤</v>
      </c>
      <c r="BJ31" s="156" t="s">
        <v>265</v>
      </c>
      <c r="BK31" s="78" t="str">
        <f t="shared" ref="BK31:BP31" si="138">CHAR(164)</f>
        <v>¤</v>
      </c>
      <c r="BL31" s="78" t="str">
        <f t="shared" si="138"/>
        <v>¤</v>
      </c>
      <c r="BM31" s="78" t="str">
        <f t="shared" si="138"/>
        <v>¤</v>
      </c>
      <c r="BN31" s="78" t="str">
        <f t="shared" si="138"/>
        <v>¤</v>
      </c>
      <c r="BO31" s="78" t="str">
        <f t="shared" si="138"/>
        <v>¤</v>
      </c>
      <c r="BP31" s="78" t="str">
        <f t="shared" si="138"/>
        <v>¤</v>
      </c>
      <c r="BQ31" s="168" t="s">
        <v>271</v>
      </c>
      <c r="BR31" s="78" t="str">
        <f t="shared" ref="BR31:BT31" si="139">CHAR(164)</f>
        <v>¤</v>
      </c>
      <c r="BS31" s="78" t="str">
        <f t="shared" si="139"/>
        <v>¤</v>
      </c>
      <c r="BT31" s="78" t="str">
        <f t="shared" si="139"/>
        <v>¤</v>
      </c>
      <c r="BU31" s="90">
        <f t="shared" si="12"/>
        <v>22</v>
      </c>
      <c r="BV31" s="78"/>
      <c r="BW31" s="78"/>
      <c r="BX31" s="78"/>
      <c r="BY31" s="78"/>
      <c r="BZ31" s="78"/>
      <c r="CA31" s="78"/>
      <c r="CB31" s="78"/>
      <c r="CC31" s="78"/>
      <c r="CD31" s="78"/>
    </row>
    <row r="32" ht="9.0" customHeight="1">
      <c r="A32" s="90">
        <f t="shared" si="10"/>
        <v>21</v>
      </c>
      <c r="B32" s="78" t="str">
        <f t="shared" ref="B32:F32" si="140">CHAR(164)</f>
        <v>¤</v>
      </c>
      <c r="C32" s="78" t="str">
        <f t="shared" si="140"/>
        <v>¤</v>
      </c>
      <c r="D32" s="78" t="str">
        <f t="shared" si="140"/>
        <v>¤</v>
      </c>
      <c r="E32" s="78" t="str">
        <f t="shared" si="140"/>
        <v>¤</v>
      </c>
      <c r="F32" s="78" t="str">
        <f t="shared" si="140"/>
        <v>¤</v>
      </c>
      <c r="G32" s="112" t="s">
        <v>246</v>
      </c>
      <c r="H32" s="78" t="str">
        <f t="shared" ref="H32:I32" si="141">CHAR(164)</f>
        <v>¤</v>
      </c>
      <c r="I32" s="78" t="str">
        <f t="shared" si="141"/>
        <v>¤</v>
      </c>
      <c r="J32" s="143" t="s">
        <v>262</v>
      </c>
      <c r="K32" s="78" t="str">
        <f t="shared" ref="K32:AO32" si="142">CHAR(164)</f>
        <v>¤</v>
      </c>
      <c r="L32" s="78" t="str">
        <f t="shared" si="142"/>
        <v>¤</v>
      </c>
      <c r="M32" s="78" t="str">
        <f t="shared" si="142"/>
        <v>¤</v>
      </c>
      <c r="N32" s="78" t="str">
        <f t="shared" si="142"/>
        <v>¤</v>
      </c>
      <c r="O32" s="78" t="str">
        <f t="shared" si="142"/>
        <v>¤</v>
      </c>
      <c r="P32" s="78" t="str">
        <f t="shared" si="142"/>
        <v>¤</v>
      </c>
      <c r="Q32" s="78" t="str">
        <f t="shared" si="142"/>
        <v>¤</v>
      </c>
      <c r="R32" s="78" t="str">
        <f t="shared" si="142"/>
        <v>¤</v>
      </c>
      <c r="S32" s="78" t="str">
        <f t="shared" si="142"/>
        <v>¤</v>
      </c>
      <c r="T32" s="78" t="str">
        <f t="shared" si="142"/>
        <v>¤</v>
      </c>
      <c r="U32" s="78" t="str">
        <f t="shared" si="142"/>
        <v>¤</v>
      </c>
      <c r="V32" s="78" t="str">
        <f t="shared" si="142"/>
        <v>¤</v>
      </c>
      <c r="W32" s="78" t="str">
        <f t="shared" si="142"/>
        <v>¤</v>
      </c>
      <c r="X32" s="78" t="str">
        <f t="shared" si="142"/>
        <v>¤</v>
      </c>
      <c r="Y32" s="78" t="str">
        <f t="shared" si="142"/>
        <v>¤</v>
      </c>
      <c r="Z32" s="78" t="str">
        <f t="shared" si="142"/>
        <v>¤</v>
      </c>
      <c r="AA32" s="78" t="str">
        <f t="shared" si="142"/>
        <v>¤</v>
      </c>
      <c r="AB32" s="78" t="str">
        <f t="shared" si="142"/>
        <v>¤</v>
      </c>
      <c r="AC32" s="78" t="str">
        <f t="shared" si="142"/>
        <v>¤</v>
      </c>
      <c r="AD32" s="78" t="str">
        <f t="shared" si="142"/>
        <v>¤</v>
      </c>
      <c r="AE32" s="78" t="str">
        <f t="shared" si="142"/>
        <v>¤</v>
      </c>
      <c r="AF32" s="78" t="str">
        <f t="shared" si="142"/>
        <v>¤</v>
      </c>
      <c r="AG32" s="78" t="str">
        <f t="shared" si="142"/>
        <v>¤</v>
      </c>
      <c r="AH32" s="78" t="str">
        <f t="shared" si="142"/>
        <v>¤</v>
      </c>
      <c r="AI32" s="78" t="str">
        <f t="shared" si="142"/>
        <v>¤</v>
      </c>
      <c r="AJ32" s="78" t="str">
        <f t="shared" si="142"/>
        <v>¤</v>
      </c>
      <c r="AK32" s="78" t="str">
        <f t="shared" si="142"/>
        <v>¤</v>
      </c>
      <c r="AL32" s="78" t="str">
        <f t="shared" si="142"/>
        <v>¤</v>
      </c>
      <c r="AM32" s="78" t="str">
        <f t="shared" si="142"/>
        <v>¤</v>
      </c>
      <c r="AN32" s="78" t="str">
        <f t="shared" si="142"/>
        <v>¤</v>
      </c>
      <c r="AO32" s="78" t="str">
        <f t="shared" si="142"/>
        <v>¤</v>
      </c>
      <c r="AP32" s="109" t="s">
        <v>241</v>
      </c>
      <c r="AQ32" s="78" t="str">
        <f t="shared" ref="AQ32:BD32" si="143">CHAR(164)</f>
        <v>¤</v>
      </c>
      <c r="AR32" s="78" t="str">
        <f t="shared" si="143"/>
        <v>¤</v>
      </c>
      <c r="AS32" s="78" t="str">
        <f t="shared" si="143"/>
        <v>¤</v>
      </c>
      <c r="AT32" s="78" t="str">
        <f t="shared" si="143"/>
        <v>¤</v>
      </c>
      <c r="AU32" s="78" t="str">
        <f t="shared" si="143"/>
        <v>¤</v>
      </c>
      <c r="AV32" s="78" t="str">
        <f t="shared" si="143"/>
        <v>¤</v>
      </c>
      <c r="AW32" s="78" t="str">
        <f t="shared" si="143"/>
        <v>¤</v>
      </c>
      <c r="AX32" s="78" t="str">
        <f t="shared" si="143"/>
        <v>¤</v>
      </c>
      <c r="AY32" s="78" t="str">
        <f t="shared" si="143"/>
        <v>¤</v>
      </c>
      <c r="AZ32" s="78" t="str">
        <f t="shared" si="143"/>
        <v>¤</v>
      </c>
      <c r="BA32" s="78" t="str">
        <f t="shared" si="143"/>
        <v>¤</v>
      </c>
      <c r="BB32" s="78" t="str">
        <f t="shared" si="143"/>
        <v>¤</v>
      </c>
      <c r="BC32" s="78" t="str">
        <f t="shared" si="143"/>
        <v>¤</v>
      </c>
      <c r="BD32" s="78" t="str">
        <f t="shared" si="143"/>
        <v>¤</v>
      </c>
      <c r="BE32" s="187" t="s">
        <v>281</v>
      </c>
      <c r="BF32" s="78" t="str">
        <f t="shared" ref="BF32:BI32" si="144">CHAR(164)</f>
        <v>¤</v>
      </c>
      <c r="BG32" s="78" t="str">
        <f t="shared" si="144"/>
        <v>¤</v>
      </c>
      <c r="BH32" s="78" t="str">
        <f t="shared" si="144"/>
        <v>¤</v>
      </c>
      <c r="BI32" s="78" t="str">
        <f t="shared" si="144"/>
        <v>¤</v>
      </c>
      <c r="BJ32" s="156" t="s">
        <v>265</v>
      </c>
      <c r="BK32" s="78" t="str">
        <f t="shared" ref="BK32:BT32" si="145">CHAR(164)</f>
        <v>¤</v>
      </c>
      <c r="BL32" s="78" t="str">
        <f t="shared" si="145"/>
        <v>¤</v>
      </c>
      <c r="BM32" s="78" t="str">
        <f t="shared" si="145"/>
        <v>¤</v>
      </c>
      <c r="BN32" s="78" t="str">
        <f t="shared" si="145"/>
        <v>¤</v>
      </c>
      <c r="BO32" s="78" t="str">
        <f t="shared" si="145"/>
        <v>¤</v>
      </c>
      <c r="BP32" s="78" t="str">
        <f t="shared" si="145"/>
        <v>¤</v>
      </c>
      <c r="BQ32" s="78" t="str">
        <f t="shared" si="145"/>
        <v>¤</v>
      </c>
      <c r="BR32" s="78" t="str">
        <f t="shared" si="145"/>
        <v>¤</v>
      </c>
      <c r="BS32" s="78" t="str">
        <f t="shared" si="145"/>
        <v>¤</v>
      </c>
      <c r="BT32" s="78" t="str">
        <f t="shared" si="145"/>
        <v>¤</v>
      </c>
      <c r="BU32" s="90">
        <f t="shared" si="12"/>
        <v>21</v>
      </c>
      <c r="BV32" s="78"/>
      <c r="BW32" s="78"/>
      <c r="BX32" s="78"/>
      <c r="BY32" s="78"/>
      <c r="BZ32" s="78"/>
      <c r="CA32" s="78"/>
      <c r="CB32" s="78"/>
      <c r="CC32" s="78"/>
      <c r="CD32" s="78"/>
    </row>
    <row r="33" ht="9.0" customHeight="1">
      <c r="A33" s="90">
        <f t="shared" si="10"/>
        <v>20</v>
      </c>
      <c r="B33" s="78" t="str">
        <f t="shared" ref="B33:F33" si="146">CHAR(164)</f>
        <v>¤</v>
      </c>
      <c r="C33" s="78" t="str">
        <f t="shared" si="146"/>
        <v>¤</v>
      </c>
      <c r="D33" s="78" t="str">
        <f t="shared" si="146"/>
        <v>¤</v>
      </c>
      <c r="E33" s="78" t="str">
        <f t="shared" si="146"/>
        <v>¤</v>
      </c>
      <c r="F33" s="78" t="str">
        <f t="shared" si="146"/>
        <v>¤</v>
      </c>
      <c r="G33" s="112" t="s">
        <v>246</v>
      </c>
      <c r="H33" s="78" t="str">
        <f t="shared" ref="H33:I33" si="147">CHAR(164)</f>
        <v>¤</v>
      </c>
      <c r="I33" s="78" t="str">
        <f t="shared" si="147"/>
        <v>¤</v>
      </c>
      <c r="J33" s="143" t="s">
        <v>262</v>
      </c>
      <c r="K33" s="78" t="str">
        <f t="shared" ref="K33:K50" si="152">CHAR(164)</f>
        <v>¤</v>
      </c>
      <c r="L33" s="109" t="s">
        <v>241</v>
      </c>
      <c r="M33" s="109" t="s">
        <v>241</v>
      </c>
      <c r="N33" s="109" t="s">
        <v>241</v>
      </c>
      <c r="O33" s="109" t="s">
        <v>241</v>
      </c>
      <c r="P33" s="109" t="s">
        <v>241</v>
      </c>
      <c r="Q33" s="109" t="s">
        <v>241</v>
      </c>
      <c r="R33" s="109" t="s">
        <v>241</v>
      </c>
      <c r="S33" s="109" t="s">
        <v>241</v>
      </c>
      <c r="T33" s="109" t="s">
        <v>241</v>
      </c>
      <c r="U33" s="109" t="s">
        <v>241</v>
      </c>
      <c r="V33" s="109" t="s">
        <v>241</v>
      </c>
      <c r="W33" s="109" t="s">
        <v>241</v>
      </c>
      <c r="X33" s="109" t="s">
        <v>241</v>
      </c>
      <c r="Y33" s="109" t="s">
        <v>241</v>
      </c>
      <c r="Z33" s="109" t="s">
        <v>241</v>
      </c>
      <c r="AA33" s="109" t="s">
        <v>241</v>
      </c>
      <c r="AB33" s="109" t="s">
        <v>241</v>
      </c>
      <c r="AC33" s="109" t="s">
        <v>241</v>
      </c>
      <c r="AD33" s="109" t="s">
        <v>241</v>
      </c>
      <c r="AE33" s="109" t="s">
        <v>241</v>
      </c>
      <c r="AF33" s="109" t="s">
        <v>241</v>
      </c>
      <c r="AG33" s="109" t="s">
        <v>241</v>
      </c>
      <c r="AH33" s="109" t="s">
        <v>241</v>
      </c>
      <c r="AI33" s="109" t="s">
        <v>241</v>
      </c>
      <c r="AJ33" s="109" t="s">
        <v>241</v>
      </c>
      <c r="AK33" s="109" t="s">
        <v>241</v>
      </c>
      <c r="AL33" s="109" t="s">
        <v>241</v>
      </c>
      <c r="AM33" s="109" t="s">
        <v>241</v>
      </c>
      <c r="AN33" s="109" t="s">
        <v>241</v>
      </c>
      <c r="AO33" s="109" t="s">
        <v>241</v>
      </c>
      <c r="AP33" s="109" t="s">
        <v>241</v>
      </c>
      <c r="AQ33" s="78" t="str">
        <f t="shared" ref="AQ33:BD33" si="148">CHAR(164)</f>
        <v>¤</v>
      </c>
      <c r="AR33" s="78" t="str">
        <f t="shared" si="148"/>
        <v>¤</v>
      </c>
      <c r="AS33" s="78" t="str">
        <f t="shared" si="148"/>
        <v>¤</v>
      </c>
      <c r="AT33" s="78" t="str">
        <f t="shared" si="148"/>
        <v>¤</v>
      </c>
      <c r="AU33" s="78" t="str">
        <f t="shared" si="148"/>
        <v>¤</v>
      </c>
      <c r="AV33" s="78" t="str">
        <f t="shared" si="148"/>
        <v>¤</v>
      </c>
      <c r="AW33" s="78" t="str">
        <f t="shared" si="148"/>
        <v>¤</v>
      </c>
      <c r="AX33" s="78" t="str">
        <f t="shared" si="148"/>
        <v>¤</v>
      </c>
      <c r="AY33" s="78" t="str">
        <f t="shared" si="148"/>
        <v>¤</v>
      </c>
      <c r="AZ33" s="78" t="str">
        <f t="shared" si="148"/>
        <v>¤</v>
      </c>
      <c r="BA33" s="78" t="str">
        <f t="shared" si="148"/>
        <v>¤</v>
      </c>
      <c r="BB33" s="78" t="str">
        <f t="shared" si="148"/>
        <v>¤</v>
      </c>
      <c r="BC33" s="78" t="str">
        <f t="shared" si="148"/>
        <v>¤</v>
      </c>
      <c r="BD33" s="78" t="str">
        <f t="shared" si="148"/>
        <v>¤</v>
      </c>
      <c r="BE33" s="187" t="s">
        <v>281</v>
      </c>
      <c r="BF33" s="78" t="str">
        <f t="shared" ref="BF33:BI33" si="149">CHAR(164)</f>
        <v>¤</v>
      </c>
      <c r="BG33" s="78" t="str">
        <f t="shared" si="149"/>
        <v>¤</v>
      </c>
      <c r="BH33" s="78" t="str">
        <f t="shared" si="149"/>
        <v>¤</v>
      </c>
      <c r="BI33" s="78" t="str">
        <f t="shared" si="149"/>
        <v>¤</v>
      </c>
      <c r="BJ33" s="156" t="s">
        <v>265</v>
      </c>
      <c r="BK33" s="78" t="str">
        <f t="shared" ref="BK33:BT33" si="150">CHAR(164)</f>
        <v>¤</v>
      </c>
      <c r="BL33" s="78" t="str">
        <f t="shared" si="150"/>
        <v>¤</v>
      </c>
      <c r="BM33" s="78" t="str">
        <f t="shared" si="150"/>
        <v>¤</v>
      </c>
      <c r="BN33" s="78" t="str">
        <f t="shared" si="150"/>
        <v>¤</v>
      </c>
      <c r="BO33" s="78" t="str">
        <f t="shared" si="150"/>
        <v>¤</v>
      </c>
      <c r="BP33" s="78" t="str">
        <f t="shared" si="150"/>
        <v>¤</v>
      </c>
      <c r="BQ33" s="78" t="str">
        <f t="shared" si="150"/>
        <v>¤</v>
      </c>
      <c r="BR33" s="78" t="str">
        <f t="shared" si="150"/>
        <v>¤</v>
      </c>
      <c r="BS33" s="78" t="str">
        <f t="shared" si="150"/>
        <v>¤</v>
      </c>
      <c r="BT33" s="78" t="str">
        <f t="shared" si="150"/>
        <v>¤</v>
      </c>
      <c r="BU33" s="90">
        <f t="shared" si="12"/>
        <v>20</v>
      </c>
      <c r="BV33" s="78"/>
      <c r="BW33" s="78"/>
      <c r="BX33" s="78"/>
      <c r="BY33" s="78"/>
      <c r="BZ33" s="78"/>
      <c r="CA33" s="78"/>
      <c r="CB33" s="78"/>
      <c r="CC33" s="78"/>
      <c r="CD33" s="78"/>
    </row>
    <row r="34" ht="9.0" customHeight="1">
      <c r="A34" s="90">
        <f t="shared" si="10"/>
        <v>19</v>
      </c>
      <c r="B34" s="78" t="str">
        <f t="shared" ref="B34:I34" si="151">CHAR(164)</f>
        <v>¤</v>
      </c>
      <c r="C34" s="78" t="str">
        <f t="shared" si="151"/>
        <v>¤</v>
      </c>
      <c r="D34" s="78" t="str">
        <f t="shared" si="151"/>
        <v>¤</v>
      </c>
      <c r="E34" s="78" t="str">
        <f t="shared" si="151"/>
        <v>¤</v>
      </c>
      <c r="F34" s="78" t="str">
        <f t="shared" si="151"/>
        <v>¤</v>
      </c>
      <c r="G34" s="78" t="str">
        <f t="shared" si="151"/>
        <v>¤</v>
      </c>
      <c r="H34" s="78" t="str">
        <f t="shared" si="151"/>
        <v>¤</v>
      </c>
      <c r="I34" s="78" t="str">
        <f t="shared" si="151"/>
        <v>¤</v>
      </c>
      <c r="J34" s="143" t="s">
        <v>262</v>
      </c>
      <c r="K34" s="78" t="str">
        <f t="shared" si="152"/>
        <v>¤</v>
      </c>
      <c r="L34" s="78" t="str">
        <f t="shared" ref="L34:BD34" si="153">CHAR(164)</f>
        <v>¤</v>
      </c>
      <c r="M34" s="78" t="str">
        <f t="shared" si="153"/>
        <v>¤</v>
      </c>
      <c r="N34" s="78" t="str">
        <f t="shared" si="153"/>
        <v>¤</v>
      </c>
      <c r="O34" s="78" t="str">
        <f t="shared" si="153"/>
        <v>¤</v>
      </c>
      <c r="P34" s="78" t="str">
        <f t="shared" si="153"/>
        <v>¤</v>
      </c>
      <c r="Q34" s="78" t="str">
        <f t="shared" si="153"/>
        <v>¤</v>
      </c>
      <c r="R34" s="78" t="str">
        <f t="shared" si="153"/>
        <v>¤</v>
      </c>
      <c r="S34" s="78" t="str">
        <f t="shared" si="153"/>
        <v>¤</v>
      </c>
      <c r="T34" s="78" t="str">
        <f t="shared" si="153"/>
        <v>¤</v>
      </c>
      <c r="U34" s="78" t="str">
        <f t="shared" si="153"/>
        <v>¤</v>
      </c>
      <c r="V34" s="78" t="str">
        <f t="shared" si="153"/>
        <v>¤</v>
      </c>
      <c r="W34" s="78" t="str">
        <f t="shared" si="153"/>
        <v>¤</v>
      </c>
      <c r="X34" s="78" t="str">
        <f t="shared" si="153"/>
        <v>¤</v>
      </c>
      <c r="Y34" s="78" t="str">
        <f t="shared" si="153"/>
        <v>¤</v>
      </c>
      <c r="Z34" s="78" t="str">
        <f t="shared" si="153"/>
        <v>¤</v>
      </c>
      <c r="AA34" s="78" t="str">
        <f t="shared" si="153"/>
        <v>¤</v>
      </c>
      <c r="AB34" s="78" t="str">
        <f t="shared" si="153"/>
        <v>¤</v>
      </c>
      <c r="AC34" s="78" t="str">
        <f t="shared" si="153"/>
        <v>¤</v>
      </c>
      <c r="AD34" s="78" t="str">
        <f t="shared" si="153"/>
        <v>¤</v>
      </c>
      <c r="AE34" s="78" t="str">
        <f t="shared" si="153"/>
        <v>¤</v>
      </c>
      <c r="AF34" s="78" t="str">
        <f t="shared" si="153"/>
        <v>¤</v>
      </c>
      <c r="AG34" s="78" t="str">
        <f t="shared" si="153"/>
        <v>¤</v>
      </c>
      <c r="AH34" s="78" t="str">
        <f t="shared" si="153"/>
        <v>¤</v>
      </c>
      <c r="AI34" s="78" t="str">
        <f t="shared" si="153"/>
        <v>¤</v>
      </c>
      <c r="AJ34" s="78" t="str">
        <f t="shared" si="153"/>
        <v>¤</v>
      </c>
      <c r="AK34" s="78" t="str">
        <f t="shared" si="153"/>
        <v>¤</v>
      </c>
      <c r="AL34" s="78" t="str">
        <f t="shared" si="153"/>
        <v>¤</v>
      </c>
      <c r="AM34" s="78" t="str">
        <f t="shared" si="153"/>
        <v>¤</v>
      </c>
      <c r="AN34" s="78" t="str">
        <f t="shared" si="153"/>
        <v>¤</v>
      </c>
      <c r="AO34" s="78" t="str">
        <f t="shared" si="153"/>
        <v>¤</v>
      </c>
      <c r="AP34" s="78" t="str">
        <f t="shared" si="153"/>
        <v>¤</v>
      </c>
      <c r="AQ34" s="78" t="str">
        <f t="shared" si="153"/>
        <v>¤</v>
      </c>
      <c r="AR34" s="78" t="str">
        <f t="shared" si="153"/>
        <v>¤</v>
      </c>
      <c r="AS34" s="78" t="str">
        <f t="shared" si="153"/>
        <v>¤</v>
      </c>
      <c r="AT34" s="78" t="str">
        <f t="shared" si="153"/>
        <v>¤</v>
      </c>
      <c r="AU34" s="78" t="str">
        <f t="shared" si="153"/>
        <v>¤</v>
      </c>
      <c r="AV34" s="78" t="str">
        <f t="shared" si="153"/>
        <v>¤</v>
      </c>
      <c r="AW34" s="78" t="str">
        <f t="shared" si="153"/>
        <v>¤</v>
      </c>
      <c r="AX34" s="78" t="str">
        <f t="shared" si="153"/>
        <v>¤</v>
      </c>
      <c r="AY34" s="78" t="str">
        <f t="shared" si="153"/>
        <v>¤</v>
      </c>
      <c r="AZ34" s="78" t="str">
        <f t="shared" si="153"/>
        <v>¤</v>
      </c>
      <c r="BA34" s="78" t="str">
        <f t="shared" si="153"/>
        <v>¤</v>
      </c>
      <c r="BB34" s="78" t="str">
        <f t="shared" si="153"/>
        <v>¤</v>
      </c>
      <c r="BC34" s="78" t="str">
        <f t="shared" si="153"/>
        <v>¤</v>
      </c>
      <c r="BD34" s="78" t="str">
        <f t="shared" si="153"/>
        <v>¤</v>
      </c>
      <c r="BE34" s="187" t="s">
        <v>281</v>
      </c>
      <c r="BF34" s="78" t="str">
        <f t="shared" ref="BF34:BI34" si="154">CHAR(164)</f>
        <v>¤</v>
      </c>
      <c r="BG34" s="78" t="str">
        <f t="shared" si="154"/>
        <v>¤</v>
      </c>
      <c r="BH34" s="78" t="str">
        <f t="shared" si="154"/>
        <v>¤</v>
      </c>
      <c r="BI34" s="78" t="str">
        <f t="shared" si="154"/>
        <v>¤</v>
      </c>
      <c r="BJ34" s="156" t="s">
        <v>265</v>
      </c>
      <c r="BK34" s="78" t="str">
        <f t="shared" ref="BK34:BT34" si="155">CHAR(164)</f>
        <v>¤</v>
      </c>
      <c r="BL34" s="78" t="str">
        <f t="shared" si="155"/>
        <v>¤</v>
      </c>
      <c r="BM34" s="78" t="str">
        <f t="shared" si="155"/>
        <v>¤</v>
      </c>
      <c r="BN34" s="78" t="str">
        <f t="shared" si="155"/>
        <v>¤</v>
      </c>
      <c r="BO34" s="78" t="str">
        <f t="shared" si="155"/>
        <v>¤</v>
      </c>
      <c r="BP34" s="78" t="str">
        <f t="shared" si="155"/>
        <v>¤</v>
      </c>
      <c r="BQ34" s="78" t="str">
        <f t="shared" si="155"/>
        <v>¤</v>
      </c>
      <c r="BR34" s="78" t="str">
        <f t="shared" si="155"/>
        <v>¤</v>
      </c>
      <c r="BS34" s="78" t="str">
        <f t="shared" si="155"/>
        <v>¤</v>
      </c>
      <c r="BT34" s="78" t="str">
        <f t="shared" si="155"/>
        <v>¤</v>
      </c>
      <c r="BU34" s="90">
        <f t="shared" si="12"/>
        <v>19</v>
      </c>
      <c r="BV34" s="78"/>
      <c r="BW34" s="78"/>
      <c r="BX34" s="78"/>
      <c r="BY34" s="78"/>
      <c r="BZ34" s="78"/>
      <c r="CA34" s="78"/>
      <c r="CB34" s="78"/>
      <c r="CC34" s="78"/>
      <c r="CD34" s="78"/>
    </row>
    <row r="35" ht="9.0" customHeight="1">
      <c r="A35" s="90">
        <f t="shared" si="10"/>
        <v>18</v>
      </c>
      <c r="B35" s="78" t="str">
        <f t="shared" ref="B35:I35" si="156">CHAR(164)</f>
        <v>¤</v>
      </c>
      <c r="C35" s="78" t="str">
        <f t="shared" si="156"/>
        <v>¤</v>
      </c>
      <c r="D35" s="78" t="str">
        <f t="shared" si="156"/>
        <v>¤</v>
      </c>
      <c r="E35" s="78" t="str">
        <f t="shared" si="156"/>
        <v>¤</v>
      </c>
      <c r="F35" s="78" t="str">
        <f t="shared" si="156"/>
        <v>¤</v>
      </c>
      <c r="G35" s="78" t="str">
        <f t="shared" si="156"/>
        <v>¤</v>
      </c>
      <c r="H35" s="78" t="str">
        <f t="shared" si="156"/>
        <v>¤</v>
      </c>
      <c r="I35" s="78" t="str">
        <f t="shared" si="156"/>
        <v>¤</v>
      </c>
      <c r="J35" s="143" t="s">
        <v>262</v>
      </c>
      <c r="K35" s="78" t="str">
        <f t="shared" si="152"/>
        <v>¤</v>
      </c>
      <c r="L35" s="78" t="str">
        <f t="shared" ref="L35:AE35" si="157">CHAR(164)</f>
        <v>¤</v>
      </c>
      <c r="M35" s="78" t="str">
        <f t="shared" si="157"/>
        <v>¤</v>
      </c>
      <c r="N35" s="78" t="str">
        <f t="shared" si="157"/>
        <v>¤</v>
      </c>
      <c r="O35" s="78" t="str">
        <f t="shared" si="157"/>
        <v>¤</v>
      </c>
      <c r="P35" s="78" t="str">
        <f t="shared" si="157"/>
        <v>¤</v>
      </c>
      <c r="Q35" s="78" t="str">
        <f t="shared" si="157"/>
        <v>¤</v>
      </c>
      <c r="R35" s="78" t="str">
        <f t="shared" si="157"/>
        <v>¤</v>
      </c>
      <c r="S35" s="78" t="str">
        <f t="shared" si="157"/>
        <v>¤</v>
      </c>
      <c r="T35" s="78" t="str">
        <f t="shared" si="157"/>
        <v>¤</v>
      </c>
      <c r="U35" s="78" t="str">
        <f t="shared" si="157"/>
        <v>¤</v>
      </c>
      <c r="V35" s="78" t="str">
        <f t="shared" si="157"/>
        <v>¤</v>
      </c>
      <c r="W35" s="78" t="str">
        <f t="shared" si="157"/>
        <v>¤</v>
      </c>
      <c r="X35" s="78" t="str">
        <f t="shared" si="157"/>
        <v>¤</v>
      </c>
      <c r="Y35" s="78" t="str">
        <f t="shared" si="157"/>
        <v>¤</v>
      </c>
      <c r="Z35" s="78" t="str">
        <f t="shared" si="157"/>
        <v>¤</v>
      </c>
      <c r="AA35" s="78" t="str">
        <f t="shared" si="157"/>
        <v>¤</v>
      </c>
      <c r="AB35" s="78" t="str">
        <f t="shared" si="157"/>
        <v>¤</v>
      </c>
      <c r="AC35" s="78" t="str">
        <f t="shared" si="157"/>
        <v>¤</v>
      </c>
      <c r="AD35" s="78" t="str">
        <f t="shared" si="157"/>
        <v>¤</v>
      </c>
      <c r="AE35" s="78" t="str">
        <f t="shared" si="157"/>
        <v>¤</v>
      </c>
      <c r="AF35" s="119" t="s">
        <v>251</v>
      </c>
      <c r="AG35" s="78" t="str">
        <f t="shared" ref="AG35:BD35" si="158">CHAR(164)</f>
        <v>¤</v>
      </c>
      <c r="AH35" s="78" t="str">
        <f t="shared" si="158"/>
        <v>¤</v>
      </c>
      <c r="AI35" s="78" t="str">
        <f t="shared" si="158"/>
        <v>¤</v>
      </c>
      <c r="AJ35" s="78" t="str">
        <f t="shared" si="158"/>
        <v>¤</v>
      </c>
      <c r="AK35" s="78" t="str">
        <f t="shared" si="158"/>
        <v>¤</v>
      </c>
      <c r="AL35" s="78" t="str">
        <f t="shared" si="158"/>
        <v>¤</v>
      </c>
      <c r="AM35" s="78" t="str">
        <f t="shared" si="158"/>
        <v>¤</v>
      </c>
      <c r="AN35" s="78" t="str">
        <f t="shared" si="158"/>
        <v>¤</v>
      </c>
      <c r="AO35" s="78" t="str">
        <f t="shared" si="158"/>
        <v>¤</v>
      </c>
      <c r="AP35" s="78" t="str">
        <f t="shared" si="158"/>
        <v>¤</v>
      </c>
      <c r="AQ35" s="78" t="str">
        <f t="shared" si="158"/>
        <v>¤</v>
      </c>
      <c r="AR35" s="78" t="str">
        <f t="shared" si="158"/>
        <v>¤</v>
      </c>
      <c r="AS35" s="78" t="str">
        <f t="shared" si="158"/>
        <v>¤</v>
      </c>
      <c r="AT35" s="78" t="str">
        <f t="shared" si="158"/>
        <v>¤</v>
      </c>
      <c r="AU35" s="78" t="str">
        <f t="shared" si="158"/>
        <v>¤</v>
      </c>
      <c r="AV35" s="78" t="str">
        <f t="shared" si="158"/>
        <v>¤</v>
      </c>
      <c r="AW35" s="78" t="str">
        <f t="shared" si="158"/>
        <v>¤</v>
      </c>
      <c r="AX35" s="78" t="str">
        <f t="shared" si="158"/>
        <v>¤</v>
      </c>
      <c r="AY35" s="78" t="str">
        <f t="shared" si="158"/>
        <v>¤</v>
      </c>
      <c r="AZ35" s="78" t="str">
        <f t="shared" si="158"/>
        <v>¤</v>
      </c>
      <c r="BA35" s="78" t="str">
        <f t="shared" si="158"/>
        <v>¤</v>
      </c>
      <c r="BB35" s="78" t="str">
        <f t="shared" si="158"/>
        <v>¤</v>
      </c>
      <c r="BC35" s="78" t="str">
        <f t="shared" si="158"/>
        <v>¤</v>
      </c>
      <c r="BD35" s="78" t="str">
        <f t="shared" si="158"/>
        <v>¤</v>
      </c>
      <c r="BE35" s="187" t="s">
        <v>281</v>
      </c>
      <c r="BF35" s="78" t="str">
        <f t="shared" ref="BF35:BI35" si="159">CHAR(164)</f>
        <v>¤</v>
      </c>
      <c r="BG35" s="78" t="str">
        <f t="shared" si="159"/>
        <v>¤</v>
      </c>
      <c r="BH35" s="78" t="str">
        <f t="shared" si="159"/>
        <v>¤</v>
      </c>
      <c r="BI35" s="78" t="str">
        <f t="shared" si="159"/>
        <v>¤</v>
      </c>
      <c r="BJ35" s="156" t="s">
        <v>265</v>
      </c>
      <c r="BK35" s="78" t="str">
        <f t="shared" ref="BK35:BT35" si="160">CHAR(164)</f>
        <v>¤</v>
      </c>
      <c r="BL35" s="78" t="str">
        <f t="shared" si="160"/>
        <v>¤</v>
      </c>
      <c r="BM35" s="78" t="str">
        <f t="shared" si="160"/>
        <v>¤</v>
      </c>
      <c r="BN35" s="78" t="str">
        <f t="shared" si="160"/>
        <v>¤</v>
      </c>
      <c r="BO35" s="78" t="str">
        <f t="shared" si="160"/>
        <v>¤</v>
      </c>
      <c r="BP35" s="78" t="str">
        <f t="shared" si="160"/>
        <v>¤</v>
      </c>
      <c r="BQ35" s="78" t="str">
        <f t="shared" si="160"/>
        <v>¤</v>
      </c>
      <c r="BR35" s="78" t="str">
        <f t="shared" si="160"/>
        <v>¤</v>
      </c>
      <c r="BS35" s="78" t="str">
        <f t="shared" si="160"/>
        <v>¤</v>
      </c>
      <c r="BT35" s="78" t="str">
        <f t="shared" si="160"/>
        <v>¤</v>
      </c>
      <c r="BU35" s="90">
        <f t="shared" si="12"/>
        <v>18</v>
      </c>
      <c r="BV35" s="78"/>
      <c r="BW35" s="78"/>
      <c r="BX35" s="78"/>
      <c r="BY35" s="78"/>
      <c r="BZ35" s="78"/>
      <c r="CA35" s="78"/>
      <c r="CB35" s="78"/>
      <c r="CC35" s="78"/>
      <c r="CD35" s="78"/>
    </row>
    <row r="36" ht="9.0" customHeight="1">
      <c r="A36" s="90">
        <f t="shared" si="10"/>
        <v>17</v>
      </c>
      <c r="B36" s="78" t="str">
        <f t="shared" ref="B36:I36" si="161">CHAR(164)</f>
        <v>¤</v>
      </c>
      <c r="C36" s="78" t="str">
        <f t="shared" si="161"/>
        <v>¤</v>
      </c>
      <c r="D36" s="78" t="str">
        <f t="shared" si="161"/>
        <v>¤</v>
      </c>
      <c r="E36" s="78" t="str">
        <f t="shared" si="161"/>
        <v>¤</v>
      </c>
      <c r="F36" s="78" t="str">
        <f t="shared" si="161"/>
        <v>¤</v>
      </c>
      <c r="G36" s="78" t="str">
        <f t="shared" si="161"/>
        <v>¤</v>
      </c>
      <c r="H36" s="78" t="str">
        <f t="shared" si="161"/>
        <v>¤</v>
      </c>
      <c r="I36" s="78" t="str">
        <f t="shared" si="161"/>
        <v>¤</v>
      </c>
      <c r="J36" s="143" t="s">
        <v>262</v>
      </c>
      <c r="K36" s="78" t="str">
        <f t="shared" si="152"/>
        <v>¤</v>
      </c>
      <c r="L36" s="78" t="str">
        <f t="shared" ref="L36:AE36" si="162">CHAR(164)</f>
        <v>¤</v>
      </c>
      <c r="M36" s="78" t="str">
        <f t="shared" si="162"/>
        <v>¤</v>
      </c>
      <c r="N36" s="78" t="str">
        <f t="shared" si="162"/>
        <v>¤</v>
      </c>
      <c r="O36" s="78" t="str">
        <f t="shared" si="162"/>
        <v>¤</v>
      </c>
      <c r="P36" s="78" t="str">
        <f t="shared" si="162"/>
        <v>¤</v>
      </c>
      <c r="Q36" s="78" t="str">
        <f t="shared" si="162"/>
        <v>¤</v>
      </c>
      <c r="R36" s="78" t="str">
        <f t="shared" si="162"/>
        <v>¤</v>
      </c>
      <c r="S36" s="78" t="str">
        <f t="shared" si="162"/>
        <v>¤</v>
      </c>
      <c r="T36" s="78" t="str">
        <f t="shared" si="162"/>
        <v>¤</v>
      </c>
      <c r="U36" s="78" t="str">
        <f t="shared" si="162"/>
        <v>¤</v>
      </c>
      <c r="V36" s="78" t="str">
        <f t="shared" si="162"/>
        <v>¤</v>
      </c>
      <c r="W36" s="78" t="str">
        <f t="shared" si="162"/>
        <v>¤</v>
      </c>
      <c r="X36" s="78" t="str">
        <f t="shared" si="162"/>
        <v>¤</v>
      </c>
      <c r="Y36" s="78" t="str">
        <f t="shared" si="162"/>
        <v>¤</v>
      </c>
      <c r="Z36" s="78" t="str">
        <f t="shared" si="162"/>
        <v>¤</v>
      </c>
      <c r="AA36" s="78" t="str">
        <f t="shared" si="162"/>
        <v>¤</v>
      </c>
      <c r="AB36" s="78" t="str">
        <f t="shared" si="162"/>
        <v>¤</v>
      </c>
      <c r="AC36" s="78" t="str">
        <f t="shared" si="162"/>
        <v>¤</v>
      </c>
      <c r="AD36" s="78" t="str">
        <f t="shared" si="162"/>
        <v>¤</v>
      </c>
      <c r="AE36" s="78" t="str">
        <f t="shared" si="162"/>
        <v>¤</v>
      </c>
      <c r="AF36" s="119" t="s">
        <v>251</v>
      </c>
      <c r="AG36" s="78" t="str">
        <f t="shared" ref="AG36:BD36" si="163">CHAR(164)</f>
        <v>¤</v>
      </c>
      <c r="AH36" s="78" t="str">
        <f t="shared" si="163"/>
        <v>¤</v>
      </c>
      <c r="AI36" s="78" t="str">
        <f t="shared" si="163"/>
        <v>¤</v>
      </c>
      <c r="AJ36" s="78" t="str">
        <f t="shared" si="163"/>
        <v>¤</v>
      </c>
      <c r="AK36" s="78" t="str">
        <f t="shared" si="163"/>
        <v>¤</v>
      </c>
      <c r="AL36" s="78" t="str">
        <f t="shared" si="163"/>
        <v>¤</v>
      </c>
      <c r="AM36" s="78" t="str">
        <f t="shared" si="163"/>
        <v>¤</v>
      </c>
      <c r="AN36" s="78" t="str">
        <f t="shared" si="163"/>
        <v>¤</v>
      </c>
      <c r="AO36" s="78" t="str">
        <f t="shared" si="163"/>
        <v>¤</v>
      </c>
      <c r="AP36" s="78" t="str">
        <f t="shared" si="163"/>
        <v>¤</v>
      </c>
      <c r="AQ36" s="78" t="str">
        <f t="shared" si="163"/>
        <v>¤</v>
      </c>
      <c r="AR36" s="78" t="str">
        <f t="shared" si="163"/>
        <v>¤</v>
      </c>
      <c r="AS36" s="78" t="str">
        <f t="shared" si="163"/>
        <v>¤</v>
      </c>
      <c r="AT36" s="78" t="str">
        <f t="shared" si="163"/>
        <v>¤</v>
      </c>
      <c r="AU36" s="78" t="str">
        <f t="shared" si="163"/>
        <v>¤</v>
      </c>
      <c r="AV36" s="78" t="str">
        <f t="shared" si="163"/>
        <v>¤</v>
      </c>
      <c r="AW36" s="78" t="str">
        <f t="shared" si="163"/>
        <v>¤</v>
      </c>
      <c r="AX36" s="78" t="str">
        <f t="shared" si="163"/>
        <v>¤</v>
      </c>
      <c r="AY36" s="78" t="str">
        <f t="shared" si="163"/>
        <v>¤</v>
      </c>
      <c r="AZ36" s="78" t="str">
        <f t="shared" si="163"/>
        <v>¤</v>
      </c>
      <c r="BA36" s="78" t="str">
        <f t="shared" si="163"/>
        <v>¤</v>
      </c>
      <c r="BB36" s="78" t="str">
        <f t="shared" si="163"/>
        <v>¤</v>
      </c>
      <c r="BC36" s="78" t="str">
        <f t="shared" si="163"/>
        <v>¤</v>
      </c>
      <c r="BD36" s="78" t="str">
        <f t="shared" si="163"/>
        <v>¤</v>
      </c>
      <c r="BE36" s="187" t="s">
        <v>281</v>
      </c>
      <c r="BF36" s="78" t="str">
        <f t="shared" ref="BF36:BI36" si="164">CHAR(164)</f>
        <v>¤</v>
      </c>
      <c r="BG36" s="78" t="str">
        <f t="shared" si="164"/>
        <v>¤</v>
      </c>
      <c r="BH36" s="78" t="str">
        <f t="shared" si="164"/>
        <v>¤</v>
      </c>
      <c r="BI36" s="78" t="str">
        <f t="shared" si="164"/>
        <v>¤</v>
      </c>
      <c r="BJ36" s="156" t="s">
        <v>265</v>
      </c>
      <c r="BK36" s="78" t="str">
        <f t="shared" ref="BK36:BT36" si="165">CHAR(164)</f>
        <v>¤</v>
      </c>
      <c r="BL36" s="78" t="str">
        <f t="shared" si="165"/>
        <v>¤</v>
      </c>
      <c r="BM36" s="78" t="str">
        <f t="shared" si="165"/>
        <v>¤</v>
      </c>
      <c r="BN36" s="78" t="str">
        <f t="shared" si="165"/>
        <v>¤</v>
      </c>
      <c r="BO36" s="78" t="str">
        <f t="shared" si="165"/>
        <v>¤</v>
      </c>
      <c r="BP36" s="78" t="str">
        <f t="shared" si="165"/>
        <v>¤</v>
      </c>
      <c r="BQ36" s="78" t="str">
        <f t="shared" si="165"/>
        <v>¤</v>
      </c>
      <c r="BR36" s="78" t="str">
        <f t="shared" si="165"/>
        <v>¤</v>
      </c>
      <c r="BS36" s="78" t="str">
        <f t="shared" si="165"/>
        <v>¤</v>
      </c>
      <c r="BT36" s="78" t="str">
        <f t="shared" si="165"/>
        <v>¤</v>
      </c>
      <c r="BU36" s="90">
        <f t="shared" si="12"/>
        <v>17</v>
      </c>
      <c r="BV36" s="78"/>
      <c r="BW36" s="78"/>
      <c r="BX36" s="78"/>
      <c r="BY36" s="78"/>
      <c r="BZ36" s="78"/>
      <c r="CA36" s="78"/>
      <c r="CB36" s="78"/>
      <c r="CC36" s="78"/>
      <c r="CD36" s="78"/>
    </row>
    <row r="37" ht="9.0" customHeight="1">
      <c r="A37" s="90">
        <f t="shared" si="10"/>
        <v>16</v>
      </c>
      <c r="B37" s="78" t="str">
        <f t="shared" ref="B37:I37" si="166">CHAR(164)</f>
        <v>¤</v>
      </c>
      <c r="C37" s="78" t="str">
        <f t="shared" si="166"/>
        <v>¤</v>
      </c>
      <c r="D37" s="78" t="str">
        <f t="shared" si="166"/>
        <v>¤</v>
      </c>
      <c r="E37" s="78" t="str">
        <f t="shared" si="166"/>
        <v>¤</v>
      </c>
      <c r="F37" s="78" t="str">
        <f t="shared" si="166"/>
        <v>¤</v>
      </c>
      <c r="G37" s="78" t="str">
        <f t="shared" si="166"/>
        <v>¤</v>
      </c>
      <c r="H37" s="78" t="str">
        <f t="shared" si="166"/>
        <v>¤</v>
      </c>
      <c r="I37" s="78" t="str">
        <f t="shared" si="166"/>
        <v>¤</v>
      </c>
      <c r="J37" s="143" t="s">
        <v>262</v>
      </c>
      <c r="K37" s="78" t="str">
        <f t="shared" si="152"/>
        <v>¤</v>
      </c>
      <c r="L37" s="78" t="str">
        <f t="shared" ref="L37:AE37" si="167">CHAR(164)</f>
        <v>¤</v>
      </c>
      <c r="M37" s="78" t="str">
        <f t="shared" si="167"/>
        <v>¤</v>
      </c>
      <c r="N37" s="78" t="str">
        <f t="shared" si="167"/>
        <v>¤</v>
      </c>
      <c r="O37" s="78" t="str">
        <f t="shared" si="167"/>
        <v>¤</v>
      </c>
      <c r="P37" s="78" t="str">
        <f t="shared" si="167"/>
        <v>¤</v>
      </c>
      <c r="Q37" s="78" t="str">
        <f t="shared" si="167"/>
        <v>¤</v>
      </c>
      <c r="R37" s="78" t="str">
        <f t="shared" si="167"/>
        <v>¤</v>
      </c>
      <c r="S37" s="78" t="str">
        <f t="shared" si="167"/>
        <v>¤</v>
      </c>
      <c r="T37" s="78" t="str">
        <f t="shared" si="167"/>
        <v>¤</v>
      </c>
      <c r="U37" s="78" t="str">
        <f t="shared" si="167"/>
        <v>¤</v>
      </c>
      <c r="V37" s="78" t="str">
        <f t="shared" si="167"/>
        <v>¤</v>
      </c>
      <c r="W37" s="78" t="str">
        <f t="shared" si="167"/>
        <v>¤</v>
      </c>
      <c r="X37" s="78" t="str">
        <f t="shared" si="167"/>
        <v>¤</v>
      </c>
      <c r="Y37" s="78" t="str">
        <f t="shared" si="167"/>
        <v>¤</v>
      </c>
      <c r="Z37" s="78" t="str">
        <f t="shared" si="167"/>
        <v>¤</v>
      </c>
      <c r="AA37" s="78" t="str">
        <f t="shared" si="167"/>
        <v>¤</v>
      </c>
      <c r="AB37" s="78" t="str">
        <f t="shared" si="167"/>
        <v>¤</v>
      </c>
      <c r="AC37" s="78" t="str">
        <f t="shared" si="167"/>
        <v>¤</v>
      </c>
      <c r="AD37" s="78" t="str">
        <f t="shared" si="167"/>
        <v>¤</v>
      </c>
      <c r="AE37" s="78" t="str">
        <f t="shared" si="167"/>
        <v>¤</v>
      </c>
      <c r="AF37" s="119" t="s">
        <v>251</v>
      </c>
      <c r="AG37" s="78" t="str">
        <f t="shared" ref="AG37:BD37" si="168">CHAR(164)</f>
        <v>¤</v>
      </c>
      <c r="AH37" s="78" t="str">
        <f t="shared" si="168"/>
        <v>¤</v>
      </c>
      <c r="AI37" s="78" t="str">
        <f t="shared" si="168"/>
        <v>¤</v>
      </c>
      <c r="AJ37" s="78" t="str">
        <f t="shared" si="168"/>
        <v>¤</v>
      </c>
      <c r="AK37" s="78" t="str">
        <f t="shared" si="168"/>
        <v>¤</v>
      </c>
      <c r="AL37" s="78" t="str">
        <f t="shared" si="168"/>
        <v>¤</v>
      </c>
      <c r="AM37" s="78" t="str">
        <f t="shared" si="168"/>
        <v>¤</v>
      </c>
      <c r="AN37" s="78" t="str">
        <f t="shared" si="168"/>
        <v>¤</v>
      </c>
      <c r="AO37" s="78" t="str">
        <f t="shared" si="168"/>
        <v>¤</v>
      </c>
      <c r="AP37" s="78" t="str">
        <f t="shared" si="168"/>
        <v>¤</v>
      </c>
      <c r="AQ37" s="78" t="str">
        <f t="shared" si="168"/>
        <v>¤</v>
      </c>
      <c r="AR37" s="78" t="str">
        <f t="shared" si="168"/>
        <v>¤</v>
      </c>
      <c r="AS37" s="78" t="str">
        <f t="shared" si="168"/>
        <v>¤</v>
      </c>
      <c r="AT37" s="78" t="str">
        <f t="shared" si="168"/>
        <v>¤</v>
      </c>
      <c r="AU37" s="78" t="str">
        <f t="shared" si="168"/>
        <v>¤</v>
      </c>
      <c r="AV37" s="78" t="str">
        <f t="shared" si="168"/>
        <v>¤</v>
      </c>
      <c r="AW37" s="78" t="str">
        <f t="shared" si="168"/>
        <v>¤</v>
      </c>
      <c r="AX37" s="78" t="str">
        <f t="shared" si="168"/>
        <v>¤</v>
      </c>
      <c r="AY37" s="78" t="str">
        <f t="shared" si="168"/>
        <v>¤</v>
      </c>
      <c r="AZ37" s="78" t="str">
        <f t="shared" si="168"/>
        <v>¤</v>
      </c>
      <c r="BA37" s="78" t="str">
        <f t="shared" si="168"/>
        <v>¤</v>
      </c>
      <c r="BB37" s="78" t="str">
        <f t="shared" si="168"/>
        <v>¤</v>
      </c>
      <c r="BC37" s="78" t="str">
        <f t="shared" si="168"/>
        <v>¤</v>
      </c>
      <c r="BD37" s="78" t="str">
        <f t="shared" si="168"/>
        <v>¤</v>
      </c>
      <c r="BE37" s="187" t="s">
        <v>281</v>
      </c>
      <c r="BF37" s="78" t="str">
        <f t="shared" ref="BF37:BI37" si="169">CHAR(164)</f>
        <v>¤</v>
      </c>
      <c r="BG37" s="78" t="str">
        <f t="shared" si="169"/>
        <v>¤</v>
      </c>
      <c r="BH37" s="78" t="str">
        <f t="shared" si="169"/>
        <v>¤</v>
      </c>
      <c r="BI37" s="78" t="str">
        <f t="shared" si="169"/>
        <v>¤</v>
      </c>
      <c r="BJ37" s="156" t="s">
        <v>265</v>
      </c>
      <c r="BK37" s="78" t="str">
        <f t="shared" ref="BK37:BT37" si="170">CHAR(164)</f>
        <v>¤</v>
      </c>
      <c r="BL37" s="78" t="str">
        <f t="shared" si="170"/>
        <v>¤</v>
      </c>
      <c r="BM37" s="78" t="str">
        <f t="shared" si="170"/>
        <v>¤</v>
      </c>
      <c r="BN37" s="78" t="str">
        <f t="shared" si="170"/>
        <v>¤</v>
      </c>
      <c r="BO37" s="78" t="str">
        <f t="shared" si="170"/>
        <v>¤</v>
      </c>
      <c r="BP37" s="78" t="str">
        <f t="shared" si="170"/>
        <v>¤</v>
      </c>
      <c r="BQ37" s="78" t="str">
        <f t="shared" si="170"/>
        <v>¤</v>
      </c>
      <c r="BR37" s="78" t="str">
        <f t="shared" si="170"/>
        <v>¤</v>
      </c>
      <c r="BS37" s="78" t="str">
        <f t="shared" si="170"/>
        <v>¤</v>
      </c>
      <c r="BT37" s="78" t="str">
        <f t="shared" si="170"/>
        <v>¤</v>
      </c>
      <c r="BU37" s="90">
        <f t="shared" si="12"/>
        <v>16</v>
      </c>
      <c r="BV37" s="78"/>
      <c r="BW37" s="78"/>
      <c r="BX37" s="78"/>
      <c r="BY37" s="78"/>
      <c r="BZ37" s="78"/>
      <c r="CA37" s="78"/>
      <c r="CB37" s="78"/>
      <c r="CC37" s="78"/>
      <c r="CD37" s="78"/>
    </row>
    <row r="38" ht="9.0" customHeight="1">
      <c r="A38" s="90">
        <f t="shared" si="10"/>
        <v>15</v>
      </c>
      <c r="B38" s="78" t="str">
        <f t="shared" ref="B38:I38" si="171">CHAR(164)</f>
        <v>¤</v>
      </c>
      <c r="C38" s="78" t="str">
        <f t="shared" si="171"/>
        <v>¤</v>
      </c>
      <c r="D38" s="78" t="str">
        <f t="shared" si="171"/>
        <v>¤</v>
      </c>
      <c r="E38" s="78" t="str">
        <f t="shared" si="171"/>
        <v>¤</v>
      </c>
      <c r="F38" s="78" t="str">
        <f t="shared" si="171"/>
        <v>¤</v>
      </c>
      <c r="G38" s="78" t="str">
        <f t="shared" si="171"/>
        <v>¤</v>
      </c>
      <c r="H38" s="78" t="str">
        <f t="shared" si="171"/>
        <v>¤</v>
      </c>
      <c r="I38" s="78" t="str">
        <f t="shared" si="171"/>
        <v>¤</v>
      </c>
      <c r="J38" s="143" t="s">
        <v>262</v>
      </c>
      <c r="K38" s="78" t="str">
        <f t="shared" si="152"/>
        <v>¤</v>
      </c>
      <c r="L38" s="78" t="str">
        <f t="shared" ref="L38:R38" si="172">CHAR(164)</f>
        <v>¤</v>
      </c>
      <c r="M38" s="78" t="str">
        <f t="shared" si="172"/>
        <v>¤</v>
      </c>
      <c r="N38" s="78" t="str">
        <f t="shared" si="172"/>
        <v>¤</v>
      </c>
      <c r="O38" s="78" t="str">
        <f t="shared" si="172"/>
        <v>¤</v>
      </c>
      <c r="P38" s="78" t="str">
        <f t="shared" si="172"/>
        <v>¤</v>
      </c>
      <c r="Q38" s="78" t="str">
        <f t="shared" si="172"/>
        <v>¤</v>
      </c>
      <c r="R38" s="78" t="str">
        <f t="shared" si="172"/>
        <v>¤</v>
      </c>
      <c r="S38" s="185" t="s">
        <v>279</v>
      </c>
      <c r="T38" s="185" t="s">
        <v>279</v>
      </c>
      <c r="U38" s="185" t="s">
        <v>279</v>
      </c>
      <c r="V38" s="185" t="s">
        <v>279</v>
      </c>
      <c r="W38" s="185" t="s">
        <v>279</v>
      </c>
      <c r="X38" s="185" t="s">
        <v>279</v>
      </c>
      <c r="Y38" s="185" t="s">
        <v>279</v>
      </c>
      <c r="Z38" s="185" t="s">
        <v>279</v>
      </c>
      <c r="AA38" s="185" t="s">
        <v>279</v>
      </c>
      <c r="AB38" s="78" t="str">
        <f t="shared" ref="AB38:AE38" si="173">CHAR(164)</f>
        <v>¤</v>
      </c>
      <c r="AC38" s="78" t="str">
        <f t="shared" si="173"/>
        <v>¤</v>
      </c>
      <c r="AD38" s="78" t="str">
        <f t="shared" si="173"/>
        <v>¤</v>
      </c>
      <c r="AE38" s="78" t="str">
        <f t="shared" si="173"/>
        <v>¤</v>
      </c>
      <c r="AF38" s="119" t="s">
        <v>251</v>
      </c>
      <c r="AG38" s="78" t="str">
        <f t="shared" ref="AG38:BD38" si="174">CHAR(164)</f>
        <v>¤</v>
      </c>
      <c r="AH38" s="78" t="str">
        <f t="shared" si="174"/>
        <v>¤</v>
      </c>
      <c r="AI38" s="78" t="str">
        <f t="shared" si="174"/>
        <v>¤</v>
      </c>
      <c r="AJ38" s="78" t="str">
        <f t="shared" si="174"/>
        <v>¤</v>
      </c>
      <c r="AK38" s="78" t="str">
        <f t="shared" si="174"/>
        <v>¤</v>
      </c>
      <c r="AL38" s="78" t="str">
        <f t="shared" si="174"/>
        <v>¤</v>
      </c>
      <c r="AM38" s="78" t="str">
        <f t="shared" si="174"/>
        <v>¤</v>
      </c>
      <c r="AN38" s="78" t="str">
        <f t="shared" si="174"/>
        <v>¤</v>
      </c>
      <c r="AO38" s="78" t="str">
        <f t="shared" si="174"/>
        <v>¤</v>
      </c>
      <c r="AP38" s="78" t="str">
        <f t="shared" si="174"/>
        <v>¤</v>
      </c>
      <c r="AQ38" s="78" t="str">
        <f t="shared" si="174"/>
        <v>¤</v>
      </c>
      <c r="AR38" s="78" t="str">
        <f t="shared" si="174"/>
        <v>¤</v>
      </c>
      <c r="AS38" s="78" t="str">
        <f t="shared" si="174"/>
        <v>¤</v>
      </c>
      <c r="AT38" s="78" t="str">
        <f t="shared" si="174"/>
        <v>¤</v>
      </c>
      <c r="AU38" s="78" t="str">
        <f t="shared" si="174"/>
        <v>¤</v>
      </c>
      <c r="AV38" s="78" t="str">
        <f t="shared" si="174"/>
        <v>¤</v>
      </c>
      <c r="AW38" s="78" t="str">
        <f t="shared" si="174"/>
        <v>¤</v>
      </c>
      <c r="AX38" s="78" t="str">
        <f t="shared" si="174"/>
        <v>¤</v>
      </c>
      <c r="AY38" s="78" t="str">
        <f t="shared" si="174"/>
        <v>¤</v>
      </c>
      <c r="AZ38" s="78" t="str">
        <f t="shared" si="174"/>
        <v>¤</v>
      </c>
      <c r="BA38" s="78" t="str">
        <f t="shared" si="174"/>
        <v>¤</v>
      </c>
      <c r="BB38" s="78" t="str">
        <f t="shared" si="174"/>
        <v>¤</v>
      </c>
      <c r="BC38" s="78" t="str">
        <f t="shared" si="174"/>
        <v>¤</v>
      </c>
      <c r="BD38" s="78" t="str">
        <f t="shared" si="174"/>
        <v>¤</v>
      </c>
      <c r="BE38" s="187" t="s">
        <v>281</v>
      </c>
      <c r="BF38" s="78" t="str">
        <f t="shared" ref="BF38:BI38" si="175">CHAR(164)</f>
        <v>¤</v>
      </c>
      <c r="BG38" s="78" t="str">
        <f t="shared" si="175"/>
        <v>¤</v>
      </c>
      <c r="BH38" s="78" t="str">
        <f t="shared" si="175"/>
        <v>¤</v>
      </c>
      <c r="BI38" s="78" t="str">
        <f t="shared" si="175"/>
        <v>¤</v>
      </c>
      <c r="BJ38" s="156" t="s">
        <v>265</v>
      </c>
      <c r="BK38" s="78" t="str">
        <f t="shared" ref="BK38:BT38" si="176">CHAR(164)</f>
        <v>¤</v>
      </c>
      <c r="BL38" s="78" t="str">
        <f t="shared" si="176"/>
        <v>¤</v>
      </c>
      <c r="BM38" s="78" t="str">
        <f t="shared" si="176"/>
        <v>¤</v>
      </c>
      <c r="BN38" s="78" t="str">
        <f t="shared" si="176"/>
        <v>¤</v>
      </c>
      <c r="BO38" s="78" t="str">
        <f t="shared" si="176"/>
        <v>¤</v>
      </c>
      <c r="BP38" s="78" t="str">
        <f t="shared" si="176"/>
        <v>¤</v>
      </c>
      <c r="BQ38" s="78" t="str">
        <f t="shared" si="176"/>
        <v>¤</v>
      </c>
      <c r="BR38" s="78" t="str">
        <f t="shared" si="176"/>
        <v>¤</v>
      </c>
      <c r="BS38" s="78" t="str">
        <f t="shared" si="176"/>
        <v>¤</v>
      </c>
      <c r="BT38" s="78" t="str">
        <f t="shared" si="176"/>
        <v>¤</v>
      </c>
      <c r="BU38" s="90">
        <f t="shared" si="12"/>
        <v>15</v>
      </c>
      <c r="BV38" s="78"/>
      <c r="BW38" s="78"/>
      <c r="BX38" s="78"/>
      <c r="BY38" s="78"/>
      <c r="BZ38" s="78"/>
      <c r="CA38" s="78"/>
      <c r="CB38" s="78"/>
      <c r="CC38" s="78"/>
      <c r="CD38" s="78"/>
    </row>
    <row r="39" ht="9.0" customHeight="1">
      <c r="A39" s="90">
        <f t="shared" si="10"/>
        <v>14</v>
      </c>
      <c r="B39" s="78" t="str">
        <f t="shared" ref="B39:I39" si="177">CHAR(164)</f>
        <v>¤</v>
      </c>
      <c r="C39" s="78" t="str">
        <f t="shared" si="177"/>
        <v>¤</v>
      </c>
      <c r="D39" s="78" t="str">
        <f t="shared" si="177"/>
        <v>¤</v>
      </c>
      <c r="E39" s="78" t="str">
        <f t="shared" si="177"/>
        <v>¤</v>
      </c>
      <c r="F39" s="78" t="str">
        <f t="shared" si="177"/>
        <v>¤</v>
      </c>
      <c r="G39" s="78" t="str">
        <f t="shared" si="177"/>
        <v>¤</v>
      </c>
      <c r="H39" s="78" t="str">
        <f t="shared" si="177"/>
        <v>¤</v>
      </c>
      <c r="I39" s="78" t="str">
        <f t="shared" si="177"/>
        <v>¤</v>
      </c>
      <c r="J39" s="143" t="s">
        <v>262</v>
      </c>
      <c r="K39" s="78" t="str">
        <f t="shared" si="152"/>
        <v>¤</v>
      </c>
      <c r="L39" s="78" t="str">
        <f t="shared" ref="L39:AB39" si="178">CHAR(164)</f>
        <v>¤</v>
      </c>
      <c r="M39" s="78" t="str">
        <f t="shared" si="178"/>
        <v>¤</v>
      </c>
      <c r="N39" s="78" t="str">
        <f t="shared" si="178"/>
        <v>¤</v>
      </c>
      <c r="O39" s="78" t="str">
        <f t="shared" si="178"/>
        <v>¤</v>
      </c>
      <c r="P39" s="78" t="str">
        <f t="shared" si="178"/>
        <v>¤</v>
      </c>
      <c r="Q39" s="78" t="str">
        <f t="shared" si="178"/>
        <v>¤</v>
      </c>
      <c r="R39" s="78" t="str">
        <f t="shared" si="178"/>
        <v>¤</v>
      </c>
      <c r="S39" s="78" t="str">
        <f t="shared" si="178"/>
        <v>¤</v>
      </c>
      <c r="T39" s="78" t="str">
        <f t="shared" si="178"/>
        <v>¤</v>
      </c>
      <c r="U39" s="78" t="str">
        <f t="shared" si="178"/>
        <v>¤</v>
      </c>
      <c r="V39" s="78" t="str">
        <f t="shared" si="178"/>
        <v>¤</v>
      </c>
      <c r="W39" s="78" t="str">
        <f t="shared" si="178"/>
        <v>¤</v>
      </c>
      <c r="X39" s="78" t="str">
        <f t="shared" si="178"/>
        <v>¤</v>
      </c>
      <c r="Y39" s="78" t="str">
        <f t="shared" si="178"/>
        <v>¤</v>
      </c>
      <c r="Z39" s="78" t="str">
        <f t="shared" si="178"/>
        <v>¤</v>
      </c>
      <c r="AA39" s="78" t="str">
        <f t="shared" si="178"/>
        <v>¤</v>
      </c>
      <c r="AB39" s="78" t="str">
        <f t="shared" si="178"/>
        <v>¤</v>
      </c>
      <c r="AC39" s="191" t="s">
        <v>246</v>
      </c>
      <c r="AD39" s="78" t="str">
        <f t="shared" ref="AD39:AE39" si="179">CHAR(164)</f>
        <v>¤</v>
      </c>
      <c r="AE39" s="78" t="str">
        <f t="shared" si="179"/>
        <v>¤</v>
      </c>
      <c r="AF39" s="119" t="s">
        <v>251</v>
      </c>
      <c r="AG39" s="78" t="str">
        <f t="shared" ref="AG39:BD39" si="180">CHAR(164)</f>
        <v>¤</v>
      </c>
      <c r="AH39" s="78" t="str">
        <f t="shared" si="180"/>
        <v>¤</v>
      </c>
      <c r="AI39" s="78" t="str">
        <f t="shared" si="180"/>
        <v>¤</v>
      </c>
      <c r="AJ39" s="78" t="str">
        <f t="shared" si="180"/>
        <v>¤</v>
      </c>
      <c r="AK39" s="78" t="str">
        <f t="shared" si="180"/>
        <v>¤</v>
      </c>
      <c r="AL39" s="78" t="str">
        <f t="shared" si="180"/>
        <v>¤</v>
      </c>
      <c r="AM39" s="78" t="str">
        <f t="shared" si="180"/>
        <v>¤</v>
      </c>
      <c r="AN39" s="78" t="str">
        <f t="shared" si="180"/>
        <v>¤</v>
      </c>
      <c r="AO39" s="78" t="str">
        <f t="shared" si="180"/>
        <v>¤</v>
      </c>
      <c r="AP39" s="78" t="str">
        <f t="shared" si="180"/>
        <v>¤</v>
      </c>
      <c r="AQ39" s="78" t="str">
        <f t="shared" si="180"/>
        <v>¤</v>
      </c>
      <c r="AR39" s="78" t="str">
        <f t="shared" si="180"/>
        <v>¤</v>
      </c>
      <c r="AS39" s="78" t="str">
        <f t="shared" si="180"/>
        <v>¤</v>
      </c>
      <c r="AT39" s="78" t="str">
        <f t="shared" si="180"/>
        <v>¤</v>
      </c>
      <c r="AU39" s="78" t="str">
        <f t="shared" si="180"/>
        <v>¤</v>
      </c>
      <c r="AV39" s="78" t="str">
        <f t="shared" si="180"/>
        <v>¤</v>
      </c>
      <c r="AW39" s="78" t="str">
        <f t="shared" si="180"/>
        <v>¤</v>
      </c>
      <c r="AX39" s="78" t="str">
        <f t="shared" si="180"/>
        <v>¤</v>
      </c>
      <c r="AY39" s="78" t="str">
        <f t="shared" si="180"/>
        <v>¤</v>
      </c>
      <c r="AZ39" s="78" t="str">
        <f t="shared" si="180"/>
        <v>¤</v>
      </c>
      <c r="BA39" s="78" t="str">
        <f t="shared" si="180"/>
        <v>¤</v>
      </c>
      <c r="BB39" s="78" t="str">
        <f t="shared" si="180"/>
        <v>¤</v>
      </c>
      <c r="BC39" s="78" t="str">
        <f t="shared" si="180"/>
        <v>¤</v>
      </c>
      <c r="BD39" s="78" t="str">
        <f t="shared" si="180"/>
        <v>¤</v>
      </c>
      <c r="BE39" s="187" t="s">
        <v>281</v>
      </c>
      <c r="BF39" s="78" t="str">
        <f t="shared" ref="BF39:BI39" si="181">CHAR(164)</f>
        <v>¤</v>
      </c>
      <c r="BG39" s="78" t="str">
        <f t="shared" si="181"/>
        <v>¤</v>
      </c>
      <c r="BH39" s="78" t="str">
        <f t="shared" si="181"/>
        <v>¤</v>
      </c>
      <c r="BI39" s="78" t="str">
        <f t="shared" si="181"/>
        <v>¤</v>
      </c>
      <c r="BJ39" s="156" t="s">
        <v>265</v>
      </c>
      <c r="BK39" s="78" t="str">
        <f t="shared" ref="BK39:BT39" si="182">CHAR(164)</f>
        <v>¤</v>
      </c>
      <c r="BL39" s="78" t="str">
        <f t="shared" si="182"/>
        <v>¤</v>
      </c>
      <c r="BM39" s="78" t="str">
        <f t="shared" si="182"/>
        <v>¤</v>
      </c>
      <c r="BN39" s="78" t="str">
        <f t="shared" si="182"/>
        <v>¤</v>
      </c>
      <c r="BO39" s="78" t="str">
        <f t="shared" si="182"/>
        <v>¤</v>
      </c>
      <c r="BP39" s="78" t="str">
        <f t="shared" si="182"/>
        <v>¤</v>
      </c>
      <c r="BQ39" s="78" t="str">
        <f t="shared" si="182"/>
        <v>¤</v>
      </c>
      <c r="BR39" s="78" t="str">
        <f t="shared" si="182"/>
        <v>¤</v>
      </c>
      <c r="BS39" s="78" t="str">
        <f t="shared" si="182"/>
        <v>¤</v>
      </c>
      <c r="BT39" s="78" t="str">
        <f t="shared" si="182"/>
        <v>¤</v>
      </c>
      <c r="BU39" s="90">
        <f t="shared" si="12"/>
        <v>14</v>
      </c>
      <c r="BV39" s="78"/>
      <c r="BW39" s="78"/>
      <c r="BX39" s="78"/>
      <c r="BY39" s="78"/>
      <c r="BZ39" s="78"/>
      <c r="CA39" s="78"/>
      <c r="CB39" s="78"/>
      <c r="CC39" s="78"/>
      <c r="CD39" s="78"/>
    </row>
    <row r="40" ht="9.0" customHeight="1">
      <c r="A40" s="90">
        <f t="shared" si="10"/>
        <v>13</v>
      </c>
      <c r="B40" s="78" t="str">
        <f t="shared" ref="B40:I40" si="183">CHAR(164)</f>
        <v>¤</v>
      </c>
      <c r="C40" s="78" t="str">
        <f t="shared" si="183"/>
        <v>¤</v>
      </c>
      <c r="D40" s="78" t="str">
        <f t="shared" si="183"/>
        <v>¤</v>
      </c>
      <c r="E40" s="78" t="str">
        <f t="shared" si="183"/>
        <v>¤</v>
      </c>
      <c r="F40" s="78" t="str">
        <f t="shared" si="183"/>
        <v>¤</v>
      </c>
      <c r="G40" s="78" t="str">
        <f t="shared" si="183"/>
        <v>¤</v>
      </c>
      <c r="H40" s="78" t="str">
        <f t="shared" si="183"/>
        <v>¤</v>
      </c>
      <c r="I40" s="78" t="str">
        <f t="shared" si="183"/>
        <v>¤</v>
      </c>
      <c r="J40" s="143" t="s">
        <v>262</v>
      </c>
      <c r="K40" s="78" t="str">
        <f t="shared" si="152"/>
        <v>¤</v>
      </c>
      <c r="L40" s="78" t="str">
        <f t="shared" ref="L40:AE40" si="184">CHAR(164)</f>
        <v>¤</v>
      </c>
      <c r="M40" s="78" t="str">
        <f t="shared" si="184"/>
        <v>¤</v>
      </c>
      <c r="N40" s="78" t="str">
        <f t="shared" si="184"/>
        <v>¤</v>
      </c>
      <c r="O40" s="78" t="str">
        <f t="shared" si="184"/>
        <v>¤</v>
      </c>
      <c r="P40" s="78" t="str">
        <f t="shared" si="184"/>
        <v>¤</v>
      </c>
      <c r="Q40" s="78" t="str">
        <f t="shared" si="184"/>
        <v>¤</v>
      </c>
      <c r="R40" s="78" t="str">
        <f t="shared" si="184"/>
        <v>¤</v>
      </c>
      <c r="S40" s="78" t="str">
        <f t="shared" si="184"/>
        <v>¤</v>
      </c>
      <c r="T40" s="78" t="str">
        <f t="shared" si="184"/>
        <v>¤</v>
      </c>
      <c r="U40" s="78" t="str">
        <f t="shared" si="184"/>
        <v>¤</v>
      </c>
      <c r="V40" s="78" t="str">
        <f t="shared" si="184"/>
        <v>¤</v>
      </c>
      <c r="W40" s="78" t="str">
        <f t="shared" si="184"/>
        <v>¤</v>
      </c>
      <c r="X40" s="78" t="str">
        <f t="shared" si="184"/>
        <v>¤</v>
      </c>
      <c r="Y40" s="78" t="str">
        <f t="shared" si="184"/>
        <v>¤</v>
      </c>
      <c r="Z40" s="78" t="str">
        <f t="shared" si="184"/>
        <v>¤</v>
      </c>
      <c r="AA40" s="78" t="str">
        <f t="shared" si="184"/>
        <v>¤</v>
      </c>
      <c r="AB40" s="78" t="str">
        <f t="shared" si="184"/>
        <v>¤</v>
      </c>
      <c r="AC40" s="78" t="str">
        <f t="shared" si="184"/>
        <v>¤</v>
      </c>
      <c r="AD40" s="78" t="str">
        <f t="shared" si="184"/>
        <v>¤</v>
      </c>
      <c r="AE40" s="78" t="str">
        <f t="shared" si="184"/>
        <v>¤</v>
      </c>
      <c r="AF40" s="119" t="s">
        <v>251</v>
      </c>
      <c r="AG40" s="78" t="str">
        <f t="shared" ref="AG40:BD40" si="185">CHAR(164)</f>
        <v>¤</v>
      </c>
      <c r="AH40" s="78" t="str">
        <f t="shared" si="185"/>
        <v>¤</v>
      </c>
      <c r="AI40" s="78" t="str">
        <f t="shared" si="185"/>
        <v>¤</v>
      </c>
      <c r="AJ40" s="78" t="str">
        <f t="shared" si="185"/>
        <v>¤</v>
      </c>
      <c r="AK40" s="78" t="str">
        <f t="shared" si="185"/>
        <v>¤</v>
      </c>
      <c r="AL40" s="78" t="str">
        <f t="shared" si="185"/>
        <v>¤</v>
      </c>
      <c r="AM40" s="78" t="str">
        <f t="shared" si="185"/>
        <v>¤</v>
      </c>
      <c r="AN40" s="78" t="str">
        <f t="shared" si="185"/>
        <v>¤</v>
      </c>
      <c r="AO40" s="78" t="str">
        <f t="shared" si="185"/>
        <v>¤</v>
      </c>
      <c r="AP40" s="78" t="str">
        <f t="shared" si="185"/>
        <v>¤</v>
      </c>
      <c r="AQ40" s="78" t="str">
        <f t="shared" si="185"/>
        <v>¤</v>
      </c>
      <c r="AR40" s="78" t="str">
        <f t="shared" si="185"/>
        <v>¤</v>
      </c>
      <c r="AS40" s="78" t="str">
        <f t="shared" si="185"/>
        <v>¤</v>
      </c>
      <c r="AT40" s="78" t="str">
        <f t="shared" si="185"/>
        <v>¤</v>
      </c>
      <c r="AU40" s="78" t="str">
        <f t="shared" si="185"/>
        <v>¤</v>
      </c>
      <c r="AV40" s="78" t="str">
        <f t="shared" si="185"/>
        <v>¤</v>
      </c>
      <c r="AW40" s="78" t="str">
        <f t="shared" si="185"/>
        <v>¤</v>
      </c>
      <c r="AX40" s="78" t="str">
        <f t="shared" si="185"/>
        <v>¤</v>
      </c>
      <c r="AY40" s="78" t="str">
        <f t="shared" si="185"/>
        <v>¤</v>
      </c>
      <c r="AZ40" s="78" t="str">
        <f t="shared" si="185"/>
        <v>¤</v>
      </c>
      <c r="BA40" s="78" t="str">
        <f t="shared" si="185"/>
        <v>¤</v>
      </c>
      <c r="BB40" s="78" t="str">
        <f t="shared" si="185"/>
        <v>¤</v>
      </c>
      <c r="BC40" s="78" t="str">
        <f t="shared" si="185"/>
        <v>¤</v>
      </c>
      <c r="BD40" s="78" t="str">
        <f t="shared" si="185"/>
        <v>¤</v>
      </c>
      <c r="BE40" s="187" t="s">
        <v>281</v>
      </c>
      <c r="BF40" s="78" t="str">
        <f t="shared" ref="BF40:BI40" si="186">CHAR(164)</f>
        <v>¤</v>
      </c>
      <c r="BG40" s="78" t="str">
        <f t="shared" si="186"/>
        <v>¤</v>
      </c>
      <c r="BH40" s="78" t="str">
        <f t="shared" si="186"/>
        <v>¤</v>
      </c>
      <c r="BI40" s="78" t="str">
        <f t="shared" si="186"/>
        <v>¤</v>
      </c>
      <c r="BJ40" s="156" t="s">
        <v>265</v>
      </c>
      <c r="BK40" s="78" t="str">
        <f t="shared" ref="BK40:BT40" si="187">CHAR(164)</f>
        <v>¤</v>
      </c>
      <c r="BL40" s="78" t="str">
        <f t="shared" si="187"/>
        <v>¤</v>
      </c>
      <c r="BM40" s="78" t="str">
        <f t="shared" si="187"/>
        <v>¤</v>
      </c>
      <c r="BN40" s="78" t="str">
        <f t="shared" si="187"/>
        <v>¤</v>
      </c>
      <c r="BO40" s="78" t="str">
        <f t="shared" si="187"/>
        <v>¤</v>
      </c>
      <c r="BP40" s="78" t="str">
        <f t="shared" si="187"/>
        <v>¤</v>
      </c>
      <c r="BQ40" s="78" t="str">
        <f t="shared" si="187"/>
        <v>¤</v>
      </c>
      <c r="BR40" s="78" t="str">
        <f t="shared" si="187"/>
        <v>¤</v>
      </c>
      <c r="BS40" s="78" t="str">
        <f t="shared" si="187"/>
        <v>¤</v>
      </c>
      <c r="BT40" s="78" t="str">
        <f t="shared" si="187"/>
        <v>¤</v>
      </c>
      <c r="BU40" s="90">
        <f t="shared" si="12"/>
        <v>13</v>
      </c>
      <c r="BV40" s="78"/>
      <c r="BW40" s="78"/>
      <c r="BX40" s="78"/>
      <c r="BY40" s="78"/>
      <c r="BZ40" s="78"/>
      <c r="CA40" s="78"/>
      <c r="CB40" s="78"/>
      <c r="CC40" s="78"/>
      <c r="CD40" s="78"/>
    </row>
    <row r="41" ht="9.0" customHeight="1">
      <c r="A41" s="90">
        <f t="shared" si="10"/>
        <v>12</v>
      </c>
      <c r="B41" s="78" t="str">
        <f t="shared" ref="B41:I41" si="188">CHAR(164)</f>
        <v>¤</v>
      </c>
      <c r="C41" s="78" t="str">
        <f t="shared" si="188"/>
        <v>¤</v>
      </c>
      <c r="D41" s="78" t="str">
        <f t="shared" si="188"/>
        <v>¤</v>
      </c>
      <c r="E41" s="78" t="str">
        <f t="shared" si="188"/>
        <v>¤</v>
      </c>
      <c r="F41" s="78" t="str">
        <f t="shared" si="188"/>
        <v>¤</v>
      </c>
      <c r="G41" s="78" t="str">
        <f t="shared" si="188"/>
        <v>¤</v>
      </c>
      <c r="H41" s="78" t="str">
        <f t="shared" si="188"/>
        <v>¤</v>
      </c>
      <c r="I41" s="78" t="str">
        <f t="shared" si="188"/>
        <v>¤</v>
      </c>
      <c r="J41" s="143" t="s">
        <v>262</v>
      </c>
      <c r="K41" s="78" t="str">
        <f t="shared" si="152"/>
        <v>¤</v>
      </c>
      <c r="L41" s="78" t="str">
        <f t="shared" ref="L41:AE41" si="189">CHAR(164)</f>
        <v>¤</v>
      </c>
      <c r="M41" s="78" t="str">
        <f t="shared" si="189"/>
        <v>¤</v>
      </c>
      <c r="N41" s="78" t="str">
        <f t="shared" si="189"/>
        <v>¤</v>
      </c>
      <c r="O41" s="78" t="str">
        <f t="shared" si="189"/>
        <v>¤</v>
      </c>
      <c r="P41" s="78" t="str">
        <f t="shared" si="189"/>
        <v>¤</v>
      </c>
      <c r="Q41" s="78" t="str">
        <f t="shared" si="189"/>
        <v>¤</v>
      </c>
      <c r="R41" s="78" t="str">
        <f t="shared" si="189"/>
        <v>¤</v>
      </c>
      <c r="S41" s="78" t="str">
        <f t="shared" si="189"/>
        <v>¤</v>
      </c>
      <c r="T41" s="78" t="str">
        <f t="shared" si="189"/>
        <v>¤</v>
      </c>
      <c r="U41" s="78" t="str">
        <f t="shared" si="189"/>
        <v>¤</v>
      </c>
      <c r="V41" s="78" t="str">
        <f t="shared" si="189"/>
        <v>¤</v>
      </c>
      <c r="W41" s="78" t="str">
        <f t="shared" si="189"/>
        <v>¤</v>
      </c>
      <c r="X41" s="78" t="str">
        <f t="shared" si="189"/>
        <v>¤</v>
      </c>
      <c r="Y41" s="78" t="str">
        <f t="shared" si="189"/>
        <v>¤</v>
      </c>
      <c r="Z41" s="78" t="str">
        <f t="shared" si="189"/>
        <v>¤</v>
      </c>
      <c r="AA41" s="78" t="str">
        <f t="shared" si="189"/>
        <v>¤</v>
      </c>
      <c r="AB41" s="78" t="str">
        <f t="shared" si="189"/>
        <v>¤</v>
      </c>
      <c r="AC41" s="78" t="str">
        <f t="shared" si="189"/>
        <v>¤</v>
      </c>
      <c r="AD41" s="78" t="str">
        <f t="shared" si="189"/>
        <v>¤</v>
      </c>
      <c r="AE41" s="78" t="str">
        <f t="shared" si="189"/>
        <v>¤</v>
      </c>
      <c r="AF41" s="119" t="s">
        <v>251</v>
      </c>
      <c r="AG41" s="78" t="str">
        <f t="shared" ref="AG41:AL41" si="190">CHAR(164)</f>
        <v>¤</v>
      </c>
      <c r="AH41" s="78" t="str">
        <f t="shared" si="190"/>
        <v>¤</v>
      </c>
      <c r="AI41" s="78" t="str">
        <f t="shared" si="190"/>
        <v>¤</v>
      </c>
      <c r="AJ41" s="78" t="str">
        <f t="shared" si="190"/>
        <v>¤</v>
      </c>
      <c r="AK41" s="78" t="str">
        <f t="shared" si="190"/>
        <v>¤</v>
      </c>
      <c r="AL41" s="78" t="str">
        <f t="shared" si="190"/>
        <v>¤</v>
      </c>
      <c r="AM41" s="172" t="s">
        <v>274</v>
      </c>
      <c r="AN41" s="78" t="str">
        <f t="shared" ref="AN41:BD41" si="191">CHAR(164)</f>
        <v>¤</v>
      </c>
      <c r="AO41" s="78" t="str">
        <f t="shared" si="191"/>
        <v>¤</v>
      </c>
      <c r="AP41" s="78" t="str">
        <f t="shared" si="191"/>
        <v>¤</v>
      </c>
      <c r="AQ41" s="78" t="str">
        <f t="shared" si="191"/>
        <v>¤</v>
      </c>
      <c r="AR41" s="78" t="str">
        <f t="shared" si="191"/>
        <v>¤</v>
      </c>
      <c r="AS41" s="78" t="str">
        <f t="shared" si="191"/>
        <v>¤</v>
      </c>
      <c r="AT41" s="78" t="str">
        <f t="shared" si="191"/>
        <v>¤</v>
      </c>
      <c r="AU41" s="78" t="str">
        <f t="shared" si="191"/>
        <v>¤</v>
      </c>
      <c r="AV41" s="78" t="str">
        <f t="shared" si="191"/>
        <v>¤</v>
      </c>
      <c r="AW41" s="78" t="str">
        <f t="shared" si="191"/>
        <v>¤</v>
      </c>
      <c r="AX41" s="78" t="str">
        <f t="shared" si="191"/>
        <v>¤</v>
      </c>
      <c r="AY41" s="78" t="str">
        <f t="shared" si="191"/>
        <v>¤</v>
      </c>
      <c r="AZ41" s="78" t="str">
        <f t="shared" si="191"/>
        <v>¤</v>
      </c>
      <c r="BA41" s="78" t="str">
        <f t="shared" si="191"/>
        <v>¤</v>
      </c>
      <c r="BB41" s="78" t="str">
        <f t="shared" si="191"/>
        <v>¤</v>
      </c>
      <c r="BC41" s="78" t="str">
        <f t="shared" si="191"/>
        <v>¤</v>
      </c>
      <c r="BD41" s="78" t="str">
        <f t="shared" si="191"/>
        <v>¤</v>
      </c>
      <c r="BE41" s="187" t="s">
        <v>281</v>
      </c>
      <c r="BF41" s="78" t="str">
        <f t="shared" ref="BF41:BI41" si="192">CHAR(164)</f>
        <v>¤</v>
      </c>
      <c r="BG41" s="78" t="str">
        <f t="shared" si="192"/>
        <v>¤</v>
      </c>
      <c r="BH41" s="78" t="str">
        <f t="shared" si="192"/>
        <v>¤</v>
      </c>
      <c r="BI41" s="78" t="str">
        <f t="shared" si="192"/>
        <v>¤</v>
      </c>
      <c r="BJ41" s="156" t="s">
        <v>265</v>
      </c>
      <c r="BK41" s="78" t="str">
        <f t="shared" ref="BK41:BT41" si="193">CHAR(164)</f>
        <v>¤</v>
      </c>
      <c r="BL41" s="78" t="str">
        <f t="shared" si="193"/>
        <v>¤</v>
      </c>
      <c r="BM41" s="78" t="str">
        <f t="shared" si="193"/>
        <v>¤</v>
      </c>
      <c r="BN41" s="78" t="str">
        <f t="shared" si="193"/>
        <v>¤</v>
      </c>
      <c r="BO41" s="78" t="str">
        <f t="shared" si="193"/>
        <v>¤</v>
      </c>
      <c r="BP41" s="78" t="str">
        <f t="shared" si="193"/>
        <v>¤</v>
      </c>
      <c r="BQ41" s="78" t="str">
        <f t="shared" si="193"/>
        <v>¤</v>
      </c>
      <c r="BR41" s="78" t="str">
        <f t="shared" si="193"/>
        <v>¤</v>
      </c>
      <c r="BS41" s="78" t="str">
        <f t="shared" si="193"/>
        <v>¤</v>
      </c>
      <c r="BT41" s="78" t="str">
        <f t="shared" si="193"/>
        <v>¤</v>
      </c>
      <c r="BU41" s="90">
        <f t="shared" si="12"/>
        <v>12</v>
      </c>
      <c r="BV41" s="78"/>
      <c r="BW41" s="78"/>
      <c r="BX41" s="78"/>
      <c r="BY41" s="78"/>
      <c r="BZ41" s="78"/>
      <c r="CA41" s="78"/>
      <c r="CB41" s="78"/>
      <c r="CC41" s="78"/>
      <c r="CD41" s="78"/>
    </row>
    <row r="42" ht="9.0" customHeight="1">
      <c r="A42" s="90">
        <f t="shared" si="10"/>
        <v>11</v>
      </c>
      <c r="B42" s="78" t="str">
        <f t="shared" ref="B42:I42" si="194">CHAR(164)</f>
        <v>¤</v>
      </c>
      <c r="C42" s="78" t="str">
        <f t="shared" si="194"/>
        <v>¤</v>
      </c>
      <c r="D42" s="78" t="str">
        <f t="shared" si="194"/>
        <v>¤</v>
      </c>
      <c r="E42" s="78" t="str">
        <f t="shared" si="194"/>
        <v>¤</v>
      </c>
      <c r="F42" s="78" t="str">
        <f t="shared" si="194"/>
        <v>¤</v>
      </c>
      <c r="G42" s="78" t="str">
        <f t="shared" si="194"/>
        <v>¤</v>
      </c>
      <c r="H42" s="78" t="str">
        <f t="shared" si="194"/>
        <v>¤</v>
      </c>
      <c r="I42" s="78" t="str">
        <f t="shared" si="194"/>
        <v>¤</v>
      </c>
      <c r="J42" s="143" t="s">
        <v>262</v>
      </c>
      <c r="K42" s="78" t="str">
        <f t="shared" si="152"/>
        <v>¤</v>
      </c>
      <c r="L42" s="78" t="str">
        <f t="shared" ref="L42:AE42" si="195">CHAR(164)</f>
        <v>¤</v>
      </c>
      <c r="M42" s="78" t="str">
        <f t="shared" si="195"/>
        <v>¤</v>
      </c>
      <c r="N42" s="78" t="str">
        <f t="shared" si="195"/>
        <v>¤</v>
      </c>
      <c r="O42" s="78" t="str">
        <f t="shared" si="195"/>
        <v>¤</v>
      </c>
      <c r="P42" s="78" t="str">
        <f t="shared" si="195"/>
        <v>¤</v>
      </c>
      <c r="Q42" s="78" t="str">
        <f t="shared" si="195"/>
        <v>¤</v>
      </c>
      <c r="R42" s="78" t="str">
        <f t="shared" si="195"/>
        <v>¤</v>
      </c>
      <c r="S42" s="78" t="str">
        <f t="shared" si="195"/>
        <v>¤</v>
      </c>
      <c r="T42" s="78" t="str">
        <f t="shared" si="195"/>
        <v>¤</v>
      </c>
      <c r="U42" s="78" t="str">
        <f t="shared" si="195"/>
        <v>¤</v>
      </c>
      <c r="V42" s="78" t="str">
        <f t="shared" si="195"/>
        <v>¤</v>
      </c>
      <c r="W42" s="78" t="str">
        <f t="shared" si="195"/>
        <v>¤</v>
      </c>
      <c r="X42" s="78" t="str">
        <f t="shared" si="195"/>
        <v>¤</v>
      </c>
      <c r="Y42" s="78" t="str">
        <f t="shared" si="195"/>
        <v>¤</v>
      </c>
      <c r="Z42" s="78" t="str">
        <f t="shared" si="195"/>
        <v>¤</v>
      </c>
      <c r="AA42" s="78" t="str">
        <f t="shared" si="195"/>
        <v>¤</v>
      </c>
      <c r="AB42" s="78" t="str">
        <f t="shared" si="195"/>
        <v>¤</v>
      </c>
      <c r="AC42" s="78" t="str">
        <f t="shared" si="195"/>
        <v>¤</v>
      </c>
      <c r="AD42" s="78" t="str">
        <f t="shared" si="195"/>
        <v>¤</v>
      </c>
      <c r="AE42" s="78" t="str">
        <f t="shared" si="195"/>
        <v>¤</v>
      </c>
      <c r="AF42" s="119" t="s">
        <v>251</v>
      </c>
      <c r="AG42" s="78" t="str">
        <f t="shared" ref="AG42:AL42" si="196">CHAR(164)</f>
        <v>¤</v>
      </c>
      <c r="AH42" s="78" t="str">
        <f t="shared" si="196"/>
        <v>¤</v>
      </c>
      <c r="AI42" s="78" t="str">
        <f t="shared" si="196"/>
        <v>¤</v>
      </c>
      <c r="AJ42" s="78" t="str">
        <f t="shared" si="196"/>
        <v>¤</v>
      </c>
      <c r="AK42" s="78" t="str">
        <f t="shared" si="196"/>
        <v>¤</v>
      </c>
      <c r="AL42" s="78" t="str">
        <f t="shared" si="196"/>
        <v>¤</v>
      </c>
      <c r="AM42" s="172" t="s">
        <v>274</v>
      </c>
      <c r="AN42" s="78" t="str">
        <f t="shared" ref="AN42:BD42" si="197">CHAR(164)</f>
        <v>¤</v>
      </c>
      <c r="AO42" s="78" t="str">
        <f t="shared" si="197"/>
        <v>¤</v>
      </c>
      <c r="AP42" s="78" t="str">
        <f t="shared" si="197"/>
        <v>¤</v>
      </c>
      <c r="AQ42" s="78" t="str">
        <f t="shared" si="197"/>
        <v>¤</v>
      </c>
      <c r="AR42" s="78" t="str">
        <f t="shared" si="197"/>
        <v>¤</v>
      </c>
      <c r="AS42" s="78" t="str">
        <f t="shared" si="197"/>
        <v>¤</v>
      </c>
      <c r="AT42" s="78" t="str">
        <f t="shared" si="197"/>
        <v>¤</v>
      </c>
      <c r="AU42" s="78" t="str">
        <f t="shared" si="197"/>
        <v>¤</v>
      </c>
      <c r="AV42" s="78" t="str">
        <f t="shared" si="197"/>
        <v>¤</v>
      </c>
      <c r="AW42" s="78" t="str">
        <f t="shared" si="197"/>
        <v>¤</v>
      </c>
      <c r="AX42" s="78" t="str">
        <f t="shared" si="197"/>
        <v>¤</v>
      </c>
      <c r="AY42" s="78" t="str">
        <f t="shared" si="197"/>
        <v>¤</v>
      </c>
      <c r="AZ42" s="78" t="str">
        <f t="shared" si="197"/>
        <v>¤</v>
      </c>
      <c r="BA42" s="78" t="str">
        <f t="shared" si="197"/>
        <v>¤</v>
      </c>
      <c r="BB42" s="78" t="str">
        <f t="shared" si="197"/>
        <v>¤</v>
      </c>
      <c r="BC42" s="78" t="str">
        <f t="shared" si="197"/>
        <v>¤</v>
      </c>
      <c r="BD42" s="78" t="str">
        <f t="shared" si="197"/>
        <v>¤</v>
      </c>
      <c r="BE42" s="187" t="s">
        <v>281</v>
      </c>
      <c r="BF42" s="78" t="str">
        <f t="shared" ref="BF42:BI42" si="198">CHAR(164)</f>
        <v>¤</v>
      </c>
      <c r="BG42" s="78" t="str">
        <f t="shared" si="198"/>
        <v>¤</v>
      </c>
      <c r="BH42" s="78" t="str">
        <f t="shared" si="198"/>
        <v>¤</v>
      </c>
      <c r="BI42" s="78" t="str">
        <f t="shared" si="198"/>
        <v>¤</v>
      </c>
      <c r="BJ42" s="156" t="s">
        <v>265</v>
      </c>
      <c r="BK42" s="78" t="str">
        <f t="shared" ref="BK42:BT42" si="199">CHAR(164)</f>
        <v>¤</v>
      </c>
      <c r="BL42" s="78" t="str">
        <f t="shared" si="199"/>
        <v>¤</v>
      </c>
      <c r="BM42" s="78" t="str">
        <f t="shared" si="199"/>
        <v>¤</v>
      </c>
      <c r="BN42" s="78" t="str">
        <f t="shared" si="199"/>
        <v>¤</v>
      </c>
      <c r="BO42" s="78" t="str">
        <f t="shared" si="199"/>
        <v>¤</v>
      </c>
      <c r="BP42" s="78" t="str">
        <f t="shared" si="199"/>
        <v>¤</v>
      </c>
      <c r="BQ42" s="78" t="str">
        <f t="shared" si="199"/>
        <v>¤</v>
      </c>
      <c r="BR42" s="78" t="str">
        <f t="shared" si="199"/>
        <v>¤</v>
      </c>
      <c r="BS42" s="78" t="str">
        <f t="shared" si="199"/>
        <v>¤</v>
      </c>
      <c r="BT42" s="78" t="str">
        <f t="shared" si="199"/>
        <v>¤</v>
      </c>
      <c r="BU42" s="90">
        <f t="shared" si="12"/>
        <v>11</v>
      </c>
      <c r="BV42" s="78"/>
      <c r="BW42" s="78"/>
      <c r="BX42" s="78"/>
      <c r="BY42" s="78"/>
      <c r="BZ42" s="78"/>
      <c r="CA42" s="78"/>
      <c r="CB42" s="78"/>
      <c r="CC42" s="78"/>
      <c r="CD42" s="78"/>
    </row>
    <row r="43" ht="9.0" customHeight="1">
      <c r="A43" s="90">
        <f t="shared" si="10"/>
        <v>10</v>
      </c>
      <c r="B43" s="78" t="str">
        <f t="shared" ref="B43:I43" si="200">CHAR(164)</f>
        <v>¤</v>
      </c>
      <c r="C43" s="78" t="str">
        <f t="shared" si="200"/>
        <v>¤</v>
      </c>
      <c r="D43" s="78" t="str">
        <f t="shared" si="200"/>
        <v>¤</v>
      </c>
      <c r="E43" s="78" t="str">
        <f t="shared" si="200"/>
        <v>¤</v>
      </c>
      <c r="F43" s="78" t="str">
        <f t="shared" si="200"/>
        <v>¤</v>
      </c>
      <c r="G43" s="78" t="str">
        <f t="shared" si="200"/>
        <v>¤</v>
      </c>
      <c r="H43" s="78" t="str">
        <f t="shared" si="200"/>
        <v>¤</v>
      </c>
      <c r="I43" s="78" t="str">
        <f t="shared" si="200"/>
        <v>¤</v>
      </c>
      <c r="J43" s="143" t="s">
        <v>262</v>
      </c>
      <c r="K43" s="78" t="str">
        <f t="shared" si="152"/>
        <v>¤</v>
      </c>
      <c r="L43" s="78" t="str">
        <f t="shared" ref="L43:P43" si="201">CHAR(164)</f>
        <v>¤</v>
      </c>
      <c r="M43" s="78" t="str">
        <f t="shared" si="201"/>
        <v>¤</v>
      </c>
      <c r="N43" s="78" t="str">
        <f t="shared" si="201"/>
        <v>¤</v>
      </c>
      <c r="O43" s="78" t="str">
        <f t="shared" si="201"/>
        <v>¤</v>
      </c>
      <c r="P43" s="78" t="str">
        <f t="shared" si="201"/>
        <v>¤</v>
      </c>
      <c r="Q43" s="119" t="s">
        <v>251</v>
      </c>
      <c r="R43" s="119" t="s">
        <v>251</v>
      </c>
      <c r="S43" s="119" t="s">
        <v>251</v>
      </c>
      <c r="T43" s="119" t="s">
        <v>251</v>
      </c>
      <c r="U43" s="119" t="s">
        <v>251</v>
      </c>
      <c r="V43" s="119" t="s">
        <v>251</v>
      </c>
      <c r="W43" s="119" t="s">
        <v>251</v>
      </c>
      <c r="X43" s="119" t="s">
        <v>251</v>
      </c>
      <c r="Y43" s="119" t="s">
        <v>251</v>
      </c>
      <c r="Z43" s="119" t="s">
        <v>251</v>
      </c>
      <c r="AA43" s="119" t="s">
        <v>251</v>
      </c>
      <c r="AB43" s="119" t="s">
        <v>251</v>
      </c>
      <c r="AC43" s="119" t="s">
        <v>251</v>
      </c>
      <c r="AD43" s="119" t="s">
        <v>251</v>
      </c>
      <c r="AE43" s="119" t="s">
        <v>251</v>
      </c>
      <c r="AF43" s="119" t="s">
        <v>251</v>
      </c>
      <c r="AG43" s="78" t="str">
        <f t="shared" ref="AG43:AL43" si="202">CHAR(164)</f>
        <v>¤</v>
      </c>
      <c r="AH43" s="78" t="str">
        <f t="shared" si="202"/>
        <v>¤</v>
      </c>
      <c r="AI43" s="78" t="str">
        <f t="shared" si="202"/>
        <v>¤</v>
      </c>
      <c r="AJ43" s="78" t="str">
        <f t="shared" si="202"/>
        <v>¤</v>
      </c>
      <c r="AK43" s="78" t="str">
        <f t="shared" si="202"/>
        <v>¤</v>
      </c>
      <c r="AL43" s="78" t="str">
        <f t="shared" si="202"/>
        <v>¤</v>
      </c>
      <c r="AM43" s="172" t="s">
        <v>274</v>
      </c>
      <c r="AN43" s="78" t="str">
        <f t="shared" ref="AN43:AY43" si="203">CHAR(164)</f>
        <v>¤</v>
      </c>
      <c r="AO43" s="78" t="str">
        <f t="shared" si="203"/>
        <v>¤</v>
      </c>
      <c r="AP43" s="78" t="str">
        <f t="shared" si="203"/>
        <v>¤</v>
      </c>
      <c r="AQ43" s="78" t="str">
        <f t="shared" si="203"/>
        <v>¤</v>
      </c>
      <c r="AR43" s="78" t="str">
        <f t="shared" si="203"/>
        <v>¤</v>
      </c>
      <c r="AS43" s="78" t="str">
        <f t="shared" si="203"/>
        <v>¤</v>
      </c>
      <c r="AT43" s="78" t="str">
        <f t="shared" si="203"/>
        <v>¤</v>
      </c>
      <c r="AU43" s="78" t="str">
        <f t="shared" si="203"/>
        <v>¤</v>
      </c>
      <c r="AV43" s="78" t="str">
        <f t="shared" si="203"/>
        <v>¤</v>
      </c>
      <c r="AW43" s="78" t="str">
        <f t="shared" si="203"/>
        <v>¤</v>
      </c>
      <c r="AX43" s="78" t="str">
        <f t="shared" si="203"/>
        <v>¤</v>
      </c>
      <c r="AY43" s="78" t="str">
        <f t="shared" si="203"/>
        <v>¤</v>
      </c>
      <c r="AZ43" s="187" t="s">
        <v>281</v>
      </c>
      <c r="BA43" s="187" t="s">
        <v>281</v>
      </c>
      <c r="BB43" s="187" t="s">
        <v>281</v>
      </c>
      <c r="BC43" s="187" t="s">
        <v>281</v>
      </c>
      <c r="BD43" s="187" t="s">
        <v>281</v>
      </c>
      <c r="BE43" s="187" t="s">
        <v>281</v>
      </c>
      <c r="BF43" s="78" t="str">
        <f t="shared" ref="BF43:BI43" si="204">CHAR(164)</f>
        <v>¤</v>
      </c>
      <c r="BG43" s="78" t="str">
        <f t="shared" si="204"/>
        <v>¤</v>
      </c>
      <c r="BH43" s="78" t="str">
        <f t="shared" si="204"/>
        <v>¤</v>
      </c>
      <c r="BI43" s="78" t="str">
        <f t="shared" si="204"/>
        <v>¤</v>
      </c>
      <c r="BJ43" s="156" t="s">
        <v>265</v>
      </c>
      <c r="BK43" s="78" t="str">
        <f t="shared" ref="BK43:BT43" si="205">CHAR(164)</f>
        <v>¤</v>
      </c>
      <c r="BL43" s="78" t="str">
        <f t="shared" si="205"/>
        <v>¤</v>
      </c>
      <c r="BM43" s="78" t="str">
        <f t="shared" si="205"/>
        <v>¤</v>
      </c>
      <c r="BN43" s="78" t="str">
        <f t="shared" si="205"/>
        <v>¤</v>
      </c>
      <c r="BO43" s="78" t="str">
        <f t="shared" si="205"/>
        <v>¤</v>
      </c>
      <c r="BP43" s="78" t="str">
        <f t="shared" si="205"/>
        <v>¤</v>
      </c>
      <c r="BQ43" s="78" t="str">
        <f t="shared" si="205"/>
        <v>¤</v>
      </c>
      <c r="BR43" s="78" t="str">
        <f t="shared" si="205"/>
        <v>¤</v>
      </c>
      <c r="BS43" s="78" t="str">
        <f t="shared" si="205"/>
        <v>¤</v>
      </c>
      <c r="BT43" s="78" t="str">
        <f t="shared" si="205"/>
        <v>¤</v>
      </c>
      <c r="BU43" s="90">
        <f t="shared" si="12"/>
        <v>10</v>
      </c>
      <c r="BV43" s="78"/>
      <c r="BW43" s="78"/>
      <c r="BX43" s="78"/>
      <c r="BY43" s="78"/>
      <c r="BZ43" s="78"/>
      <c r="CA43" s="78"/>
      <c r="CB43" s="78"/>
      <c r="CC43" s="78"/>
      <c r="CD43" s="78"/>
    </row>
    <row r="44" ht="9.0" customHeight="1">
      <c r="A44" s="90">
        <f t="shared" si="10"/>
        <v>9</v>
      </c>
      <c r="B44" s="78" t="str">
        <f t="shared" ref="B44:I44" si="206">CHAR(164)</f>
        <v>¤</v>
      </c>
      <c r="C44" s="78" t="str">
        <f t="shared" si="206"/>
        <v>¤</v>
      </c>
      <c r="D44" s="78" t="str">
        <f t="shared" si="206"/>
        <v>¤</v>
      </c>
      <c r="E44" s="78" t="str">
        <f t="shared" si="206"/>
        <v>¤</v>
      </c>
      <c r="F44" s="78" t="str">
        <f t="shared" si="206"/>
        <v>¤</v>
      </c>
      <c r="G44" s="78" t="str">
        <f t="shared" si="206"/>
        <v>¤</v>
      </c>
      <c r="H44" s="78" t="str">
        <f t="shared" si="206"/>
        <v>¤</v>
      </c>
      <c r="I44" s="78" t="str">
        <f t="shared" si="206"/>
        <v>¤</v>
      </c>
      <c r="J44" s="143" t="s">
        <v>262</v>
      </c>
      <c r="K44" s="78" t="str">
        <f t="shared" si="152"/>
        <v>¤</v>
      </c>
      <c r="L44" s="78" t="str">
        <f t="shared" ref="L44:AL44" si="207">CHAR(164)</f>
        <v>¤</v>
      </c>
      <c r="M44" s="78" t="str">
        <f t="shared" si="207"/>
        <v>¤</v>
      </c>
      <c r="N44" s="78" t="str">
        <f t="shared" si="207"/>
        <v>¤</v>
      </c>
      <c r="O44" s="78" t="str">
        <f t="shared" si="207"/>
        <v>¤</v>
      </c>
      <c r="P44" s="78" t="str">
        <f t="shared" si="207"/>
        <v>¤</v>
      </c>
      <c r="Q44" s="78" t="str">
        <f t="shared" si="207"/>
        <v>¤</v>
      </c>
      <c r="R44" s="78" t="str">
        <f t="shared" si="207"/>
        <v>¤</v>
      </c>
      <c r="S44" s="78" t="str">
        <f t="shared" si="207"/>
        <v>¤</v>
      </c>
      <c r="T44" s="78" t="str">
        <f t="shared" si="207"/>
        <v>¤</v>
      </c>
      <c r="U44" s="78" t="str">
        <f t="shared" si="207"/>
        <v>¤</v>
      </c>
      <c r="V44" s="78" t="str">
        <f t="shared" si="207"/>
        <v>¤</v>
      </c>
      <c r="W44" s="78" t="str">
        <f t="shared" si="207"/>
        <v>¤</v>
      </c>
      <c r="X44" s="78" t="str">
        <f t="shared" si="207"/>
        <v>¤</v>
      </c>
      <c r="Y44" s="78" t="str">
        <f t="shared" si="207"/>
        <v>¤</v>
      </c>
      <c r="Z44" s="78" t="str">
        <f t="shared" si="207"/>
        <v>¤</v>
      </c>
      <c r="AA44" s="78" t="str">
        <f t="shared" si="207"/>
        <v>¤</v>
      </c>
      <c r="AB44" s="78" t="str">
        <f t="shared" si="207"/>
        <v>¤</v>
      </c>
      <c r="AC44" s="78" t="str">
        <f t="shared" si="207"/>
        <v>¤</v>
      </c>
      <c r="AD44" s="78" t="str">
        <f t="shared" si="207"/>
        <v>¤</v>
      </c>
      <c r="AE44" s="78" t="str">
        <f t="shared" si="207"/>
        <v>¤</v>
      </c>
      <c r="AF44" s="78" t="str">
        <f t="shared" si="207"/>
        <v>¤</v>
      </c>
      <c r="AG44" s="78" t="str">
        <f t="shared" si="207"/>
        <v>¤</v>
      </c>
      <c r="AH44" s="78" t="str">
        <f t="shared" si="207"/>
        <v>¤</v>
      </c>
      <c r="AI44" s="78" t="str">
        <f t="shared" si="207"/>
        <v>¤</v>
      </c>
      <c r="AJ44" s="78" t="str">
        <f t="shared" si="207"/>
        <v>¤</v>
      </c>
      <c r="AK44" s="78" t="str">
        <f t="shared" si="207"/>
        <v>¤</v>
      </c>
      <c r="AL44" s="78" t="str">
        <f t="shared" si="207"/>
        <v>¤</v>
      </c>
      <c r="AM44" s="172" t="s">
        <v>274</v>
      </c>
      <c r="AN44" s="78" t="str">
        <f t="shared" ref="AN44:BT44" si="208">CHAR(164)</f>
        <v>¤</v>
      </c>
      <c r="AO44" s="78" t="str">
        <f t="shared" si="208"/>
        <v>¤</v>
      </c>
      <c r="AP44" s="78" t="str">
        <f t="shared" si="208"/>
        <v>¤</v>
      </c>
      <c r="AQ44" s="78" t="str">
        <f t="shared" si="208"/>
        <v>¤</v>
      </c>
      <c r="AR44" s="78" t="str">
        <f t="shared" si="208"/>
        <v>¤</v>
      </c>
      <c r="AS44" s="78" t="str">
        <f t="shared" si="208"/>
        <v>¤</v>
      </c>
      <c r="AT44" s="78" t="str">
        <f t="shared" si="208"/>
        <v>¤</v>
      </c>
      <c r="AU44" s="78" t="str">
        <f t="shared" si="208"/>
        <v>¤</v>
      </c>
      <c r="AV44" s="78" t="str">
        <f t="shared" si="208"/>
        <v>¤</v>
      </c>
      <c r="AW44" s="78" t="str">
        <f t="shared" si="208"/>
        <v>¤</v>
      </c>
      <c r="AX44" s="78" t="str">
        <f t="shared" si="208"/>
        <v>¤</v>
      </c>
      <c r="AY44" s="78" t="str">
        <f t="shared" si="208"/>
        <v>¤</v>
      </c>
      <c r="AZ44" s="78" t="str">
        <f t="shared" si="208"/>
        <v>¤</v>
      </c>
      <c r="BA44" s="78" t="str">
        <f t="shared" si="208"/>
        <v>¤</v>
      </c>
      <c r="BB44" s="78" t="str">
        <f t="shared" si="208"/>
        <v>¤</v>
      </c>
      <c r="BC44" s="78" t="str">
        <f t="shared" si="208"/>
        <v>¤</v>
      </c>
      <c r="BD44" s="78" t="str">
        <f t="shared" si="208"/>
        <v>¤</v>
      </c>
      <c r="BE44" s="78" t="str">
        <f t="shared" si="208"/>
        <v>¤</v>
      </c>
      <c r="BF44" s="78" t="str">
        <f t="shared" si="208"/>
        <v>¤</v>
      </c>
      <c r="BG44" s="78" t="str">
        <f t="shared" si="208"/>
        <v>¤</v>
      </c>
      <c r="BH44" s="78" t="str">
        <f t="shared" si="208"/>
        <v>¤</v>
      </c>
      <c r="BI44" s="78" t="str">
        <f t="shared" si="208"/>
        <v>¤</v>
      </c>
      <c r="BJ44" s="78" t="str">
        <f t="shared" si="208"/>
        <v>¤</v>
      </c>
      <c r="BK44" s="78" t="str">
        <f t="shared" si="208"/>
        <v>¤</v>
      </c>
      <c r="BL44" s="78" t="str">
        <f t="shared" si="208"/>
        <v>¤</v>
      </c>
      <c r="BM44" s="78" t="str">
        <f t="shared" si="208"/>
        <v>¤</v>
      </c>
      <c r="BN44" s="78" t="str">
        <f t="shared" si="208"/>
        <v>¤</v>
      </c>
      <c r="BO44" s="78" t="str">
        <f t="shared" si="208"/>
        <v>¤</v>
      </c>
      <c r="BP44" s="78" t="str">
        <f t="shared" si="208"/>
        <v>¤</v>
      </c>
      <c r="BQ44" s="78" t="str">
        <f t="shared" si="208"/>
        <v>¤</v>
      </c>
      <c r="BR44" s="78" t="str">
        <f t="shared" si="208"/>
        <v>¤</v>
      </c>
      <c r="BS44" s="78" t="str">
        <f t="shared" si="208"/>
        <v>¤</v>
      </c>
      <c r="BT44" s="78" t="str">
        <f t="shared" si="208"/>
        <v>¤</v>
      </c>
      <c r="BU44" s="90">
        <f t="shared" si="12"/>
        <v>9</v>
      </c>
      <c r="BV44" s="78"/>
      <c r="BW44" s="78"/>
      <c r="BX44" s="78"/>
      <c r="BY44" s="78"/>
      <c r="BZ44" s="78"/>
      <c r="CA44" s="78"/>
      <c r="CB44" s="78"/>
      <c r="CC44" s="78"/>
      <c r="CD44" s="78"/>
    </row>
    <row r="45" ht="9.0" customHeight="1">
      <c r="A45" s="90">
        <f t="shared" si="10"/>
        <v>8</v>
      </c>
      <c r="B45" s="78" t="str">
        <f t="shared" ref="B45:I45" si="209">CHAR(164)</f>
        <v>¤</v>
      </c>
      <c r="C45" s="78" t="str">
        <f t="shared" si="209"/>
        <v>¤</v>
      </c>
      <c r="D45" s="78" t="str">
        <f t="shared" si="209"/>
        <v>¤</v>
      </c>
      <c r="E45" s="78" t="str">
        <f t="shared" si="209"/>
        <v>¤</v>
      </c>
      <c r="F45" s="78" t="str">
        <f t="shared" si="209"/>
        <v>¤</v>
      </c>
      <c r="G45" s="78" t="str">
        <f t="shared" si="209"/>
        <v>¤</v>
      </c>
      <c r="H45" s="78" t="str">
        <f t="shared" si="209"/>
        <v>¤</v>
      </c>
      <c r="I45" s="78" t="str">
        <f t="shared" si="209"/>
        <v>¤</v>
      </c>
      <c r="J45" s="143" t="s">
        <v>262</v>
      </c>
      <c r="K45" s="78" t="str">
        <f t="shared" si="152"/>
        <v>¤</v>
      </c>
      <c r="L45" s="78" t="str">
        <f t="shared" ref="L45:W45" si="210">CHAR(164)</f>
        <v>¤</v>
      </c>
      <c r="M45" s="78" t="str">
        <f t="shared" si="210"/>
        <v>¤</v>
      </c>
      <c r="N45" s="78" t="str">
        <f t="shared" si="210"/>
        <v>¤</v>
      </c>
      <c r="O45" s="78" t="str">
        <f t="shared" si="210"/>
        <v>¤</v>
      </c>
      <c r="P45" s="78" t="str">
        <f t="shared" si="210"/>
        <v>¤</v>
      </c>
      <c r="Q45" s="78" t="str">
        <f t="shared" si="210"/>
        <v>¤</v>
      </c>
      <c r="R45" s="78" t="str">
        <f t="shared" si="210"/>
        <v>¤</v>
      </c>
      <c r="S45" s="78" t="str">
        <f t="shared" si="210"/>
        <v>¤</v>
      </c>
      <c r="T45" s="78" t="str">
        <f t="shared" si="210"/>
        <v>¤</v>
      </c>
      <c r="U45" s="78" t="str">
        <f t="shared" si="210"/>
        <v>¤</v>
      </c>
      <c r="V45" s="78" t="str">
        <f t="shared" si="210"/>
        <v>¤</v>
      </c>
      <c r="W45" s="78" t="str">
        <f t="shared" si="210"/>
        <v>¤</v>
      </c>
      <c r="X45" s="172" t="s">
        <v>274</v>
      </c>
      <c r="Y45" s="172" t="s">
        <v>274</v>
      </c>
      <c r="Z45" s="172" t="s">
        <v>274</v>
      </c>
      <c r="AA45" s="172" t="s">
        <v>274</v>
      </c>
      <c r="AB45" s="172" t="s">
        <v>274</v>
      </c>
      <c r="AC45" s="172" t="s">
        <v>274</v>
      </c>
      <c r="AD45" s="172" t="s">
        <v>274</v>
      </c>
      <c r="AE45" s="172" t="s">
        <v>274</v>
      </c>
      <c r="AF45" s="172" t="s">
        <v>274</v>
      </c>
      <c r="AG45" s="172" t="s">
        <v>274</v>
      </c>
      <c r="AH45" s="172" t="s">
        <v>274</v>
      </c>
      <c r="AI45" s="172" t="s">
        <v>274</v>
      </c>
      <c r="AJ45" s="172" t="s">
        <v>274</v>
      </c>
      <c r="AK45" s="172" t="s">
        <v>274</v>
      </c>
      <c r="AL45" s="172" t="s">
        <v>274</v>
      </c>
      <c r="AM45" s="172" t="s">
        <v>274</v>
      </c>
      <c r="AN45" s="78" t="str">
        <f t="shared" ref="AN45:BT45" si="211">CHAR(164)</f>
        <v>¤</v>
      </c>
      <c r="AO45" s="78" t="str">
        <f t="shared" si="211"/>
        <v>¤</v>
      </c>
      <c r="AP45" s="78" t="str">
        <f t="shared" si="211"/>
        <v>¤</v>
      </c>
      <c r="AQ45" s="78" t="str">
        <f t="shared" si="211"/>
        <v>¤</v>
      </c>
      <c r="AR45" s="78" t="str">
        <f t="shared" si="211"/>
        <v>¤</v>
      </c>
      <c r="AS45" s="78" t="str">
        <f t="shared" si="211"/>
        <v>¤</v>
      </c>
      <c r="AT45" s="78" t="str">
        <f t="shared" si="211"/>
        <v>¤</v>
      </c>
      <c r="AU45" s="78" t="str">
        <f t="shared" si="211"/>
        <v>¤</v>
      </c>
      <c r="AV45" s="78" t="str">
        <f t="shared" si="211"/>
        <v>¤</v>
      </c>
      <c r="AW45" s="78" t="str">
        <f t="shared" si="211"/>
        <v>¤</v>
      </c>
      <c r="AX45" s="78" t="str">
        <f t="shared" si="211"/>
        <v>¤</v>
      </c>
      <c r="AY45" s="78" t="str">
        <f t="shared" si="211"/>
        <v>¤</v>
      </c>
      <c r="AZ45" s="78" t="str">
        <f t="shared" si="211"/>
        <v>¤</v>
      </c>
      <c r="BA45" s="78" t="str">
        <f t="shared" si="211"/>
        <v>¤</v>
      </c>
      <c r="BB45" s="78" t="str">
        <f t="shared" si="211"/>
        <v>¤</v>
      </c>
      <c r="BC45" s="78" t="str">
        <f t="shared" si="211"/>
        <v>¤</v>
      </c>
      <c r="BD45" s="78" t="str">
        <f t="shared" si="211"/>
        <v>¤</v>
      </c>
      <c r="BE45" s="78" t="str">
        <f t="shared" si="211"/>
        <v>¤</v>
      </c>
      <c r="BF45" s="78" t="str">
        <f t="shared" si="211"/>
        <v>¤</v>
      </c>
      <c r="BG45" s="78" t="str">
        <f t="shared" si="211"/>
        <v>¤</v>
      </c>
      <c r="BH45" s="78" t="str">
        <f t="shared" si="211"/>
        <v>¤</v>
      </c>
      <c r="BI45" s="78" t="str">
        <f t="shared" si="211"/>
        <v>¤</v>
      </c>
      <c r="BJ45" s="78" t="str">
        <f t="shared" si="211"/>
        <v>¤</v>
      </c>
      <c r="BK45" s="78" t="str">
        <f t="shared" si="211"/>
        <v>¤</v>
      </c>
      <c r="BL45" s="78" t="str">
        <f t="shared" si="211"/>
        <v>¤</v>
      </c>
      <c r="BM45" s="78" t="str">
        <f t="shared" si="211"/>
        <v>¤</v>
      </c>
      <c r="BN45" s="78" t="str">
        <f t="shared" si="211"/>
        <v>¤</v>
      </c>
      <c r="BO45" s="78" t="str">
        <f t="shared" si="211"/>
        <v>¤</v>
      </c>
      <c r="BP45" s="78" t="str">
        <f t="shared" si="211"/>
        <v>¤</v>
      </c>
      <c r="BQ45" s="78" t="str">
        <f t="shared" si="211"/>
        <v>¤</v>
      </c>
      <c r="BR45" s="78" t="str">
        <f t="shared" si="211"/>
        <v>¤</v>
      </c>
      <c r="BS45" s="78" t="str">
        <f t="shared" si="211"/>
        <v>¤</v>
      </c>
      <c r="BT45" s="78" t="str">
        <f t="shared" si="211"/>
        <v>¤</v>
      </c>
      <c r="BU45" s="90">
        <f t="shared" si="12"/>
        <v>8</v>
      </c>
      <c r="BV45" s="78"/>
      <c r="BW45" s="78"/>
      <c r="BX45" s="78"/>
      <c r="BY45" s="78"/>
      <c r="BZ45" s="78"/>
      <c r="CA45" s="78"/>
      <c r="CB45" s="78"/>
      <c r="CC45" s="78"/>
      <c r="CD45" s="78"/>
    </row>
    <row r="46" ht="9.0" customHeight="1">
      <c r="A46" s="90">
        <f t="shared" si="10"/>
        <v>7</v>
      </c>
      <c r="B46" s="78" t="str">
        <f t="shared" ref="B46:I46" si="212">CHAR(164)</f>
        <v>¤</v>
      </c>
      <c r="C46" s="78" t="str">
        <f t="shared" si="212"/>
        <v>¤</v>
      </c>
      <c r="D46" s="78" t="str">
        <f t="shared" si="212"/>
        <v>¤</v>
      </c>
      <c r="E46" s="78" t="str">
        <f t="shared" si="212"/>
        <v>¤</v>
      </c>
      <c r="F46" s="78" t="str">
        <f t="shared" si="212"/>
        <v>¤</v>
      </c>
      <c r="G46" s="78" t="str">
        <f t="shared" si="212"/>
        <v>¤</v>
      </c>
      <c r="H46" s="78" t="str">
        <f t="shared" si="212"/>
        <v>¤</v>
      </c>
      <c r="I46" s="78" t="str">
        <f t="shared" si="212"/>
        <v>¤</v>
      </c>
      <c r="J46" s="143" t="s">
        <v>262</v>
      </c>
      <c r="K46" s="78" t="str">
        <f t="shared" si="152"/>
        <v>¤</v>
      </c>
      <c r="L46" s="78" t="str">
        <f t="shared" ref="L46:W46" si="213">CHAR(164)</f>
        <v>¤</v>
      </c>
      <c r="M46" s="78" t="str">
        <f t="shared" si="213"/>
        <v>¤</v>
      </c>
      <c r="N46" s="78" t="str">
        <f t="shared" si="213"/>
        <v>¤</v>
      </c>
      <c r="O46" s="78" t="str">
        <f t="shared" si="213"/>
        <v>¤</v>
      </c>
      <c r="P46" s="78" t="str">
        <f t="shared" si="213"/>
        <v>¤</v>
      </c>
      <c r="Q46" s="78" t="str">
        <f t="shared" si="213"/>
        <v>¤</v>
      </c>
      <c r="R46" s="78" t="str">
        <f t="shared" si="213"/>
        <v>¤</v>
      </c>
      <c r="S46" s="78" t="str">
        <f t="shared" si="213"/>
        <v>¤</v>
      </c>
      <c r="T46" s="78" t="str">
        <f t="shared" si="213"/>
        <v>¤</v>
      </c>
      <c r="U46" s="78" t="str">
        <f t="shared" si="213"/>
        <v>¤</v>
      </c>
      <c r="V46" s="78" t="str">
        <f t="shared" si="213"/>
        <v>¤</v>
      </c>
      <c r="W46" s="78" t="str">
        <f t="shared" si="213"/>
        <v>¤</v>
      </c>
      <c r="X46" s="172" t="s">
        <v>274</v>
      </c>
      <c r="Y46" s="78" t="str">
        <f t="shared" ref="Y46:BT46" si="214">CHAR(164)</f>
        <v>¤</v>
      </c>
      <c r="Z46" s="78" t="str">
        <f t="shared" si="214"/>
        <v>¤</v>
      </c>
      <c r="AA46" s="78" t="str">
        <f t="shared" si="214"/>
        <v>¤</v>
      </c>
      <c r="AB46" s="78" t="str">
        <f t="shared" si="214"/>
        <v>¤</v>
      </c>
      <c r="AC46" s="78" t="str">
        <f t="shared" si="214"/>
        <v>¤</v>
      </c>
      <c r="AD46" s="78" t="str">
        <f t="shared" si="214"/>
        <v>¤</v>
      </c>
      <c r="AE46" s="78" t="str">
        <f t="shared" si="214"/>
        <v>¤</v>
      </c>
      <c r="AF46" s="78" t="str">
        <f t="shared" si="214"/>
        <v>¤</v>
      </c>
      <c r="AG46" s="78" t="str">
        <f t="shared" si="214"/>
        <v>¤</v>
      </c>
      <c r="AH46" s="78" t="str">
        <f t="shared" si="214"/>
        <v>¤</v>
      </c>
      <c r="AI46" s="78" t="str">
        <f t="shared" si="214"/>
        <v>¤</v>
      </c>
      <c r="AJ46" s="78" t="str">
        <f t="shared" si="214"/>
        <v>¤</v>
      </c>
      <c r="AK46" s="78" t="str">
        <f t="shared" si="214"/>
        <v>¤</v>
      </c>
      <c r="AL46" s="78" t="str">
        <f t="shared" si="214"/>
        <v>¤</v>
      </c>
      <c r="AM46" s="78" t="str">
        <f t="shared" si="214"/>
        <v>¤</v>
      </c>
      <c r="AN46" s="78" t="str">
        <f t="shared" si="214"/>
        <v>¤</v>
      </c>
      <c r="AO46" s="78" t="str">
        <f t="shared" si="214"/>
        <v>¤</v>
      </c>
      <c r="AP46" s="78" t="str">
        <f t="shared" si="214"/>
        <v>¤</v>
      </c>
      <c r="AQ46" s="78" t="str">
        <f t="shared" si="214"/>
        <v>¤</v>
      </c>
      <c r="AR46" s="78" t="str">
        <f t="shared" si="214"/>
        <v>¤</v>
      </c>
      <c r="AS46" s="78" t="str">
        <f t="shared" si="214"/>
        <v>¤</v>
      </c>
      <c r="AT46" s="78" t="str">
        <f t="shared" si="214"/>
        <v>¤</v>
      </c>
      <c r="AU46" s="78" t="str">
        <f t="shared" si="214"/>
        <v>¤</v>
      </c>
      <c r="AV46" s="78" t="str">
        <f t="shared" si="214"/>
        <v>¤</v>
      </c>
      <c r="AW46" s="78" t="str">
        <f t="shared" si="214"/>
        <v>¤</v>
      </c>
      <c r="AX46" s="78" t="str">
        <f t="shared" si="214"/>
        <v>¤</v>
      </c>
      <c r="AY46" s="78" t="str">
        <f t="shared" si="214"/>
        <v>¤</v>
      </c>
      <c r="AZ46" s="78" t="str">
        <f t="shared" si="214"/>
        <v>¤</v>
      </c>
      <c r="BA46" s="78" t="str">
        <f t="shared" si="214"/>
        <v>¤</v>
      </c>
      <c r="BB46" s="78" t="str">
        <f t="shared" si="214"/>
        <v>¤</v>
      </c>
      <c r="BC46" s="78" t="str">
        <f t="shared" si="214"/>
        <v>¤</v>
      </c>
      <c r="BD46" s="78" t="str">
        <f t="shared" si="214"/>
        <v>¤</v>
      </c>
      <c r="BE46" s="78" t="str">
        <f t="shared" si="214"/>
        <v>¤</v>
      </c>
      <c r="BF46" s="78" t="str">
        <f t="shared" si="214"/>
        <v>¤</v>
      </c>
      <c r="BG46" s="78" t="str">
        <f t="shared" si="214"/>
        <v>¤</v>
      </c>
      <c r="BH46" s="78" t="str">
        <f t="shared" si="214"/>
        <v>¤</v>
      </c>
      <c r="BI46" s="78" t="str">
        <f t="shared" si="214"/>
        <v>¤</v>
      </c>
      <c r="BJ46" s="78" t="str">
        <f t="shared" si="214"/>
        <v>¤</v>
      </c>
      <c r="BK46" s="78" t="str">
        <f t="shared" si="214"/>
        <v>¤</v>
      </c>
      <c r="BL46" s="78" t="str">
        <f t="shared" si="214"/>
        <v>¤</v>
      </c>
      <c r="BM46" s="78" t="str">
        <f t="shared" si="214"/>
        <v>¤</v>
      </c>
      <c r="BN46" s="78" t="str">
        <f t="shared" si="214"/>
        <v>¤</v>
      </c>
      <c r="BO46" s="78" t="str">
        <f t="shared" si="214"/>
        <v>¤</v>
      </c>
      <c r="BP46" s="78" t="str">
        <f t="shared" si="214"/>
        <v>¤</v>
      </c>
      <c r="BQ46" s="78" t="str">
        <f t="shared" si="214"/>
        <v>¤</v>
      </c>
      <c r="BR46" s="78" t="str">
        <f t="shared" si="214"/>
        <v>¤</v>
      </c>
      <c r="BS46" s="78" t="str">
        <f t="shared" si="214"/>
        <v>¤</v>
      </c>
      <c r="BT46" s="78" t="str">
        <f t="shared" si="214"/>
        <v>¤</v>
      </c>
      <c r="BU46" s="90">
        <f t="shared" si="12"/>
        <v>7</v>
      </c>
      <c r="BV46" s="78"/>
      <c r="BW46" s="78"/>
      <c r="BX46" s="78"/>
      <c r="BY46" s="78"/>
      <c r="BZ46" s="78"/>
      <c r="CA46" s="78"/>
      <c r="CB46" s="78"/>
      <c r="CC46" s="78"/>
      <c r="CD46" s="78"/>
    </row>
    <row r="47" ht="9.0" customHeight="1">
      <c r="A47" s="90">
        <f t="shared" si="10"/>
        <v>6</v>
      </c>
      <c r="B47" s="78" t="str">
        <f t="shared" ref="B47:I47" si="215">CHAR(164)</f>
        <v>¤</v>
      </c>
      <c r="C47" s="78" t="str">
        <f t="shared" si="215"/>
        <v>¤</v>
      </c>
      <c r="D47" s="78" t="str">
        <f t="shared" si="215"/>
        <v>¤</v>
      </c>
      <c r="E47" s="78" t="str">
        <f t="shared" si="215"/>
        <v>¤</v>
      </c>
      <c r="F47" s="78" t="str">
        <f t="shared" si="215"/>
        <v>¤</v>
      </c>
      <c r="G47" s="78" t="str">
        <f t="shared" si="215"/>
        <v>¤</v>
      </c>
      <c r="H47" s="78" t="str">
        <f t="shared" si="215"/>
        <v>¤</v>
      </c>
      <c r="I47" s="78" t="str">
        <f t="shared" si="215"/>
        <v>¤</v>
      </c>
      <c r="J47" s="143" t="s">
        <v>262</v>
      </c>
      <c r="K47" s="78" t="str">
        <f t="shared" si="152"/>
        <v>¤</v>
      </c>
      <c r="L47" s="78" t="str">
        <f t="shared" ref="L47:W47" si="216">CHAR(164)</f>
        <v>¤</v>
      </c>
      <c r="M47" s="78" t="str">
        <f t="shared" si="216"/>
        <v>¤</v>
      </c>
      <c r="N47" s="78" t="str">
        <f t="shared" si="216"/>
        <v>¤</v>
      </c>
      <c r="O47" s="78" t="str">
        <f t="shared" si="216"/>
        <v>¤</v>
      </c>
      <c r="P47" s="78" t="str">
        <f t="shared" si="216"/>
        <v>¤</v>
      </c>
      <c r="Q47" s="78" t="str">
        <f t="shared" si="216"/>
        <v>¤</v>
      </c>
      <c r="R47" s="78" t="str">
        <f t="shared" si="216"/>
        <v>¤</v>
      </c>
      <c r="S47" s="78" t="str">
        <f t="shared" si="216"/>
        <v>¤</v>
      </c>
      <c r="T47" s="78" t="str">
        <f t="shared" si="216"/>
        <v>¤</v>
      </c>
      <c r="U47" s="78" t="str">
        <f t="shared" si="216"/>
        <v>¤</v>
      </c>
      <c r="V47" s="78" t="str">
        <f t="shared" si="216"/>
        <v>¤</v>
      </c>
      <c r="W47" s="78" t="str">
        <f t="shared" si="216"/>
        <v>¤</v>
      </c>
      <c r="X47" s="172" t="s">
        <v>274</v>
      </c>
      <c r="Y47" s="78" t="str">
        <f t="shared" ref="Y47:BT47" si="217">CHAR(164)</f>
        <v>¤</v>
      </c>
      <c r="Z47" s="78" t="str">
        <f t="shared" si="217"/>
        <v>¤</v>
      </c>
      <c r="AA47" s="78" t="str">
        <f t="shared" si="217"/>
        <v>¤</v>
      </c>
      <c r="AB47" s="78" t="str">
        <f t="shared" si="217"/>
        <v>¤</v>
      </c>
      <c r="AC47" s="78" t="str">
        <f t="shared" si="217"/>
        <v>¤</v>
      </c>
      <c r="AD47" s="78" t="str">
        <f t="shared" si="217"/>
        <v>¤</v>
      </c>
      <c r="AE47" s="78" t="str">
        <f t="shared" si="217"/>
        <v>¤</v>
      </c>
      <c r="AF47" s="78" t="str">
        <f t="shared" si="217"/>
        <v>¤</v>
      </c>
      <c r="AG47" s="78" t="str">
        <f t="shared" si="217"/>
        <v>¤</v>
      </c>
      <c r="AH47" s="78" t="str">
        <f t="shared" si="217"/>
        <v>¤</v>
      </c>
      <c r="AI47" s="78" t="str">
        <f t="shared" si="217"/>
        <v>¤</v>
      </c>
      <c r="AJ47" s="78" t="str">
        <f t="shared" si="217"/>
        <v>¤</v>
      </c>
      <c r="AK47" s="78" t="str">
        <f t="shared" si="217"/>
        <v>¤</v>
      </c>
      <c r="AL47" s="78" t="str">
        <f t="shared" si="217"/>
        <v>¤</v>
      </c>
      <c r="AM47" s="78" t="str">
        <f t="shared" si="217"/>
        <v>¤</v>
      </c>
      <c r="AN47" s="78" t="str">
        <f t="shared" si="217"/>
        <v>¤</v>
      </c>
      <c r="AO47" s="78" t="str">
        <f t="shared" si="217"/>
        <v>¤</v>
      </c>
      <c r="AP47" s="78" t="str">
        <f t="shared" si="217"/>
        <v>¤</v>
      </c>
      <c r="AQ47" s="78" t="str">
        <f t="shared" si="217"/>
        <v>¤</v>
      </c>
      <c r="AR47" s="78" t="str">
        <f t="shared" si="217"/>
        <v>¤</v>
      </c>
      <c r="AS47" s="78" t="str">
        <f t="shared" si="217"/>
        <v>¤</v>
      </c>
      <c r="AT47" s="78" t="str">
        <f t="shared" si="217"/>
        <v>¤</v>
      </c>
      <c r="AU47" s="78" t="str">
        <f t="shared" si="217"/>
        <v>¤</v>
      </c>
      <c r="AV47" s="78" t="str">
        <f t="shared" si="217"/>
        <v>¤</v>
      </c>
      <c r="AW47" s="78" t="str">
        <f t="shared" si="217"/>
        <v>¤</v>
      </c>
      <c r="AX47" s="78" t="str">
        <f t="shared" si="217"/>
        <v>¤</v>
      </c>
      <c r="AY47" s="78" t="str">
        <f t="shared" si="217"/>
        <v>¤</v>
      </c>
      <c r="AZ47" s="78" t="str">
        <f t="shared" si="217"/>
        <v>¤</v>
      </c>
      <c r="BA47" s="78" t="str">
        <f t="shared" si="217"/>
        <v>¤</v>
      </c>
      <c r="BB47" s="78" t="str">
        <f t="shared" si="217"/>
        <v>¤</v>
      </c>
      <c r="BC47" s="78" t="str">
        <f t="shared" si="217"/>
        <v>¤</v>
      </c>
      <c r="BD47" s="78" t="str">
        <f t="shared" si="217"/>
        <v>¤</v>
      </c>
      <c r="BE47" s="78" t="str">
        <f t="shared" si="217"/>
        <v>¤</v>
      </c>
      <c r="BF47" s="78" t="str">
        <f t="shared" si="217"/>
        <v>¤</v>
      </c>
      <c r="BG47" s="78" t="str">
        <f t="shared" si="217"/>
        <v>¤</v>
      </c>
      <c r="BH47" s="78" t="str">
        <f t="shared" si="217"/>
        <v>¤</v>
      </c>
      <c r="BI47" s="78" t="str">
        <f t="shared" si="217"/>
        <v>¤</v>
      </c>
      <c r="BJ47" s="78" t="str">
        <f t="shared" si="217"/>
        <v>¤</v>
      </c>
      <c r="BK47" s="78" t="str">
        <f t="shared" si="217"/>
        <v>¤</v>
      </c>
      <c r="BL47" s="78" t="str">
        <f t="shared" si="217"/>
        <v>¤</v>
      </c>
      <c r="BM47" s="78" t="str">
        <f t="shared" si="217"/>
        <v>¤</v>
      </c>
      <c r="BN47" s="78" t="str">
        <f t="shared" si="217"/>
        <v>¤</v>
      </c>
      <c r="BO47" s="78" t="str">
        <f t="shared" si="217"/>
        <v>¤</v>
      </c>
      <c r="BP47" s="78" t="str">
        <f t="shared" si="217"/>
        <v>¤</v>
      </c>
      <c r="BQ47" s="78" t="str">
        <f t="shared" si="217"/>
        <v>¤</v>
      </c>
      <c r="BR47" s="78" t="str">
        <f t="shared" si="217"/>
        <v>¤</v>
      </c>
      <c r="BS47" s="78" t="str">
        <f t="shared" si="217"/>
        <v>¤</v>
      </c>
      <c r="BT47" s="78" t="str">
        <f t="shared" si="217"/>
        <v>¤</v>
      </c>
      <c r="BU47" s="90">
        <f t="shared" si="12"/>
        <v>6</v>
      </c>
      <c r="BV47" s="78"/>
      <c r="BW47" s="78"/>
      <c r="BX47" s="78"/>
      <c r="BY47" s="78"/>
      <c r="BZ47" s="78"/>
      <c r="CA47" s="78"/>
      <c r="CB47" s="78"/>
      <c r="CC47" s="78"/>
      <c r="CD47" s="78"/>
    </row>
    <row r="48" ht="9.0" customHeight="1">
      <c r="A48" s="90">
        <f t="shared" si="10"/>
        <v>5</v>
      </c>
      <c r="B48" s="78" t="str">
        <f t="shared" ref="B48:I48" si="218">CHAR(164)</f>
        <v>¤</v>
      </c>
      <c r="C48" s="78" t="str">
        <f t="shared" si="218"/>
        <v>¤</v>
      </c>
      <c r="D48" s="78" t="str">
        <f t="shared" si="218"/>
        <v>¤</v>
      </c>
      <c r="E48" s="78" t="str">
        <f t="shared" si="218"/>
        <v>¤</v>
      </c>
      <c r="F48" s="78" t="str">
        <f t="shared" si="218"/>
        <v>¤</v>
      </c>
      <c r="G48" s="78" t="str">
        <f t="shared" si="218"/>
        <v>¤</v>
      </c>
      <c r="H48" s="78" t="str">
        <f t="shared" si="218"/>
        <v>¤</v>
      </c>
      <c r="I48" s="78" t="str">
        <f t="shared" si="218"/>
        <v>¤</v>
      </c>
      <c r="J48" s="143" t="s">
        <v>262</v>
      </c>
      <c r="K48" s="78" t="str">
        <f t="shared" si="152"/>
        <v>¤</v>
      </c>
      <c r="L48" s="78" t="str">
        <f t="shared" ref="L48:W48" si="219">CHAR(164)</f>
        <v>¤</v>
      </c>
      <c r="M48" s="78" t="str">
        <f t="shared" si="219"/>
        <v>¤</v>
      </c>
      <c r="N48" s="78" t="str">
        <f t="shared" si="219"/>
        <v>¤</v>
      </c>
      <c r="O48" s="78" t="str">
        <f t="shared" si="219"/>
        <v>¤</v>
      </c>
      <c r="P48" s="78" t="str">
        <f t="shared" si="219"/>
        <v>¤</v>
      </c>
      <c r="Q48" s="78" t="str">
        <f t="shared" si="219"/>
        <v>¤</v>
      </c>
      <c r="R48" s="78" t="str">
        <f t="shared" si="219"/>
        <v>¤</v>
      </c>
      <c r="S48" s="78" t="str">
        <f t="shared" si="219"/>
        <v>¤</v>
      </c>
      <c r="T48" s="78" t="str">
        <f t="shared" si="219"/>
        <v>¤</v>
      </c>
      <c r="U48" s="78" t="str">
        <f t="shared" si="219"/>
        <v>¤</v>
      </c>
      <c r="V48" s="78" t="str">
        <f t="shared" si="219"/>
        <v>¤</v>
      </c>
      <c r="W48" s="78" t="str">
        <f t="shared" si="219"/>
        <v>¤</v>
      </c>
      <c r="X48" s="172" t="s">
        <v>274</v>
      </c>
      <c r="Y48" s="78" t="str">
        <f t="shared" ref="Y48:BT48" si="220">CHAR(164)</f>
        <v>¤</v>
      </c>
      <c r="Z48" s="78" t="str">
        <f t="shared" si="220"/>
        <v>¤</v>
      </c>
      <c r="AA48" s="78" t="str">
        <f t="shared" si="220"/>
        <v>¤</v>
      </c>
      <c r="AB48" s="78" t="str">
        <f t="shared" si="220"/>
        <v>¤</v>
      </c>
      <c r="AC48" s="78" t="str">
        <f t="shared" si="220"/>
        <v>¤</v>
      </c>
      <c r="AD48" s="78" t="str">
        <f t="shared" si="220"/>
        <v>¤</v>
      </c>
      <c r="AE48" s="78" t="str">
        <f t="shared" si="220"/>
        <v>¤</v>
      </c>
      <c r="AF48" s="78" t="str">
        <f t="shared" si="220"/>
        <v>¤</v>
      </c>
      <c r="AG48" s="78" t="str">
        <f t="shared" si="220"/>
        <v>¤</v>
      </c>
      <c r="AH48" s="78" t="str">
        <f t="shared" si="220"/>
        <v>¤</v>
      </c>
      <c r="AI48" s="78" t="str">
        <f t="shared" si="220"/>
        <v>¤</v>
      </c>
      <c r="AJ48" s="78" t="str">
        <f t="shared" si="220"/>
        <v>¤</v>
      </c>
      <c r="AK48" s="78" t="str">
        <f t="shared" si="220"/>
        <v>¤</v>
      </c>
      <c r="AL48" s="78" t="str">
        <f t="shared" si="220"/>
        <v>¤</v>
      </c>
      <c r="AM48" s="78" t="str">
        <f t="shared" si="220"/>
        <v>¤</v>
      </c>
      <c r="AN48" s="78" t="str">
        <f t="shared" si="220"/>
        <v>¤</v>
      </c>
      <c r="AO48" s="78" t="str">
        <f t="shared" si="220"/>
        <v>¤</v>
      </c>
      <c r="AP48" s="78" t="str">
        <f t="shared" si="220"/>
        <v>¤</v>
      </c>
      <c r="AQ48" s="78" t="str">
        <f t="shared" si="220"/>
        <v>¤</v>
      </c>
      <c r="AR48" s="78" t="str">
        <f t="shared" si="220"/>
        <v>¤</v>
      </c>
      <c r="AS48" s="78" t="str">
        <f t="shared" si="220"/>
        <v>¤</v>
      </c>
      <c r="AT48" s="78" t="str">
        <f t="shared" si="220"/>
        <v>¤</v>
      </c>
      <c r="AU48" s="78" t="str">
        <f t="shared" si="220"/>
        <v>¤</v>
      </c>
      <c r="AV48" s="78" t="str">
        <f t="shared" si="220"/>
        <v>¤</v>
      </c>
      <c r="AW48" s="78" t="str">
        <f t="shared" si="220"/>
        <v>¤</v>
      </c>
      <c r="AX48" s="78" t="str">
        <f t="shared" si="220"/>
        <v>¤</v>
      </c>
      <c r="AY48" s="78" t="str">
        <f t="shared" si="220"/>
        <v>¤</v>
      </c>
      <c r="AZ48" s="78" t="str">
        <f t="shared" si="220"/>
        <v>¤</v>
      </c>
      <c r="BA48" s="78" t="str">
        <f t="shared" si="220"/>
        <v>¤</v>
      </c>
      <c r="BB48" s="78" t="str">
        <f t="shared" si="220"/>
        <v>¤</v>
      </c>
      <c r="BC48" s="78" t="str">
        <f t="shared" si="220"/>
        <v>¤</v>
      </c>
      <c r="BD48" s="78" t="str">
        <f t="shared" si="220"/>
        <v>¤</v>
      </c>
      <c r="BE48" s="78" t="str">
        <f t="shared" si="220"/>
        <v>¤</v>
      </c>
      <c r="BF48" s="78" t="str">
        <f t="shared" si="220"/>
        <v>¤</v>
      </c>
      <c r="BG48" s="78" t="str">
        <f t="shared" si="220"/>
        <v>¤</v>
      </c>
      <c r="BH48" s="78" t="str">
        <f t="shared" si="220"/>
        <v>¤</v>
      </c>
      <c r="BI48" s="78" t="str">
        <f t="shared" si="220"/>
        <v>¤</v>
      </c>
      <c r="BJ48" s="78" t="str">
        <f t="shared" si="220"/>
        <v>¤</v>
      </c>
      <c r="BK48" s="78" t="str">
        <f t="shared" si="220"/>
        <v>¤</v>
      </c>
      <c r="BL48" s="78" t="str">
        <f t="shared" si="220"/>
        <v>¤</v>
      </c>
      <c r="BM48" s="78" t="str">
        <f t="shared" si="220"/>
        <v>¤</v>
      </c>
      <c r="BN48" s="78" t="str">
        <f t="shared" si="220"/>
        <v>¤</v>
      </c>
      <c r="BO48" s="78" t="str">
        <f t="shared" si="220"/>
        <v>¤</v>
      </c>
      <c r="BP48" s="78" t="str">
        <f t="shared" si="220"/>
        <v>¤</v>
      </c>
      <c r="BQ48" s="78" t="str">
        <f t="shared" si="220"/>
        <v>¤</v>
      </c>
      <c r="BR48" s="78" t="str">
        <f t="shared" si="220"/>
        <v>¤</v>
      </c>
      <c r="BS48" s="78" t="str">
        <f t="shared" si="220"/>
        <v>¤</v>
      </c>
      <c r="BT48" s="78" t="str">
        <f t="shared" si="220"/>
        <v>¤</v>
      </c>
      <c r="BU48" s="90">
        <f t="shared" si="12"/>
        <v>5</v>
      </c>
      <c r="BV48" s="78"/>
      <c r="BW48" s="78"/>
      <c r="BX48" s="78"/>
      <c r="BY48" s="78"/>
      <c r="BZ48" s="78"/>
      <c r="CA48" s="78"/>
      <c r="CB48" s="78"/>
      <c r="CC48" s="78"/>
      <c r="CD48" s="78"/>
    </row>
    <row r="49" ht="9.0" customHeight="1">
      <c r="A49" s="90">
        <f t="shared" si="10"/>
        <v>4</v>
      </c>
      <c r="B49" s="78" t="str">
        <f t="shared" ref="B49:I49" si="221">CHAR(164)</f>
        <v>¤</v>
      </c>
      <c r="C49" s="78" t="str">
        <f t="shared" si="221"/>
        <v>¤</v>
      </c>
      <c r="D49" s="78" t="str">
        <f t="shared" si="221"/>
        <v>¤</v>
      </c>
      <c r="E49" s="78" t="str">
        <f t="shared" si="221"/>
        <v>¤</v>
      </c>
      <c r="F49" s="78" t="str">
        <f t="shared" si="221"/>
        <v>¤</v>
      </c>
      <c r="G49" s="78" t="str">
        <f t="shared" si="221"/>
        <v>¤</v>
      </c>
      <c r="H49" s="78" t="str">
        <f t="shared" si="221"/>
        <v>¤</v>
      </c>
      <c r="I49" s="78" t="str">
        <f t="shared" si="221"/>
        <v>¤</v>
      </c>
      <c r="J49" s="143" t="s">
        <v>262</v>
      </c>
      <c r="K49" s="78" t="str">
        <f t="shared" si="152"/>
        <v>¤</v>
      </c>
      <c r="L49" s="78" t="str">
        <f t="shared" ref="L49:W49" si="222">CHAR(164)</f>
        <v>¤</v>
      </c>
      <c r="M49" s="78" t="str">
        <f t="shared" si="222"/>
        <v>¤</v>
      </c>
      <c r="N49" s="78" t="str">
        <f t="shared" si="222"/>
        <v>¤</v>
      </c>
      <c r="O49" s="78" t="str">
        <f t="shared" si="222"/>
        <v>¤</v>
      </c>
      <c r="P49" s="78" t="str">
        <f t="shared" si="222"/>
        <v>¤</v>
      </c>
      <c r="Q49" s="78" t="str">
        <f t="shared" si="222"/>
        <v>¤</v>
      </c>
      <c r="R49" s="78" t="str">
        <f t="shared" si="222"/>
        <v>¤</v>
      </c>
      <c r="S49" s="78" t="str">
        <f t="shared" si="222"/>
        <v>¤</v>
      </c>
      <c r="T49" s="78" t="str">
        <f t="shared" si="222"/>
        <v>¤</v>
      </c>
      <c r="U49" s="78" t="str">
        <f t="shared" si="222"/>
        <v>¤</v>
      </c>
      <c r="V49" s="78" t="str">
        <f t="shared" si="222"/>
        <v>¤</v>
      </c>
      <c r="W49" s="78" t="str">
        <f t="shared" si="222"/>
        <v>¤</v>
      </c>
      <c r="X49" s="172" t="s">
        <v>274</v>
      </c>
      <c r="Y49" s="78" t="str">
        <f t="shared" ref="Y49:BT49" si="223">CHAR(164)</f>
        <v>¤</v>
      </c>
      <c r="Z49" s="78" t="str">
        <f t="shared" si="223"/>
        <v>¤</v>
      </c>
      <c r="AA49" s="78" t="str">
        <f t="shared" si="223"/>
        <v>¤</v>
      </c>
      <c r="AB49" s="78" t="str">
        <f t="shared" si="223"/>
        <v>¤</v>
      </c>
      <c r="AC49" s="78" t="str">
        <f t="shared" si="223"/>
        <v>¤</v>
      </c>
      <c r="AD49" s="78" t="str">
        <f t="shared" si="223"/>
        <v>¤</v>
      </c>
      <c r="AE49" s="78" t="str">
        <f t="shared" si="223"/>
        <v>¤</v>
      </c>
      <c r="AF49" s="78" t="str">
        <f t="shared" si="223"/>
        <v>¤</v>
      </c>
      <c r="AG49" s="78" t="str">
        <f t="shared" si="223"/>
        <v>¤</v>
      </c>
      <c r="AH49" s="78" t="str">
        <f t="shared" si="223"/>
        <v>¤</v>
      </c>
      <c r="AI49" s="78" t="str">
        <f t="shared" si="223"/>
        <v>¤</v>
      </c>
      <c r="AJ49" s="78" t="str">
        <f t="shared" si="223"/>
        <v>¤</v>
      </c>
      <c r="AK49" s="78" t="str">
        <f t="shared" si="223"/>
        <v>¤</v>
      </c>
      <c r="AL49" s="78" t="str">
        <f t="shared" si="223"/>
        <v>¤</v>
      </c>
      <c r="AM49" s="78" t="str">
        <f t="shared" si="223"/>
        <v>¤</v>
      </c>
      <c r="AN49" s="78" t="str">
        <f t="shared" si="223"/>
        <v>¤</v>
      </c>
      <c r="AO49" s="78" t="str">
        <f t="shared" si="223"/>
        <v>¤</v>
      </c>
      <c r="AP49" s="78" t="str">
        <f t="shared" si="223"/>
        <v>¤</v>
      </c>
      <c r="AQ49" s="78" t="str">
        <f t="shared" si="223"/>
        <v>¤</v>
      </c>
      <c r="AR49" s="78" t="str">
        <f t="shared" si="223"/>
        <v>¤</v>
      </c>
      <c r="AS49" s="78" t="str">
        <f t="shared" si="223"/>
        <v>¤</v>
      </c>
      <c r="AT49" s="78" t="str">
        <f t="shared" si="223"/>
        <v>¤</v>
      </c>
      <c r="AU49" s="78" t="str">
        <f t="shared" si="223"/>
        <v>¤</v>
      </c>
      <c r="AV49" s="78" t="str">
        <f t="shared" si="223"/>
        <v>¤</v>
      </c>
      <c r="AW49" s="78" t="str">
        <f t="shared" si="223"/>
        <v>¤</v>
      </c>
      <c r="AX49" s="78" t="str">
        <f t="shared" si="223"/>
        <v>¤</v>
      </c>
      <c r="AY49" s="78" t="str">
        <f t="shared" si="223"/>
        <v>¤</v>
      </c>
      <c r="AZ49" s="78" t="str">
        <f t="shared" si="223"/>
        <v>¤</v>
      </c>
      <c r="BA49" s="78" t="str">
        <f t="shared" si="223"/>
        <v>¤</v>
      </c>
      <c r="BB49" s="78" t="str">
        <f t="shared" si="223"/>
        <v>¤</v>
      </c>
      <c r="BC49" s="78" t="str">
        <f t="shared" si="223"/>
        <v>¤</v>
      </c>
      <c r="BD49" s="78" t="str">
        <f t="shared" si="223"/>
        <v>¤</v>
      </c>
      <c r="BE49" s="78" t="str">
        <f t="shared" si="223"/>
        <v>¤</v>
      </c>
      <c r="BF49" s="78" t="str">
        <f t="shared" si="223"/>
        <v>¤</v>
      </c>
      <c r="BG49" s="78" t="str">
        <f t="shared" si="223"/>
        <v>¤</v>
      </c>
      <c r="BH49" s="78" t="str">
        <f t="shared" si="223"/>
        <v>¤</v>
      </c>
      <c r="BI49" s="78" t="str">
        <f t="shared" si="223"/>
        <v>¤</v>
      </c>
      <c r="BJ49" s="78" t="str">
        <f t="shared" si="223"/>
        <v>¤</v>
      </c>
      <c r="BK49" s="78" t="str">
        <f t="shared" si="223"/>
        <v>¤</v>
      </c>
      <c r="BL49" s="78" t="str">
        <f t="shared" si="223"/>
        <v>¤</v>
      </c>
      <c r="BM49" s="78" t="str">
        <f t="shared" si="223"/>
        <v>¤</v>
      </c>
      <c r="BN49" s="78" t="str">
        <f t="shared" si="223"/>
        <v>¤</v>
      </c>
      <c r="BO49" s="78" t="str">
        <f t="shared" si="223"/>
        <v>¤</v>
      </c>
      <c r="BP49" s="78" t="str">
        <f t="shared" si="223"/>
        <v>¤</v>
      </c>
      <c r="BQ49" s="78" t="str">
        <f t="shared" si="223"/>
        <v>¤</v>
      </c>
      <c r="BR49" s="78" t="str">
        <f t="shared" si="223"/>
        <v>¤</v>
      </c>
      <c r="BS49" s="78" t="str">
        <f t="shared" si="223"/>
        <v>¤</v>
      </c>
      <c r="BT49" s="78" t="str">
        <f t="shared" si="223"/>
        <v>¤</v>
      </c>
      <c r="BU49" s="90">
        <f t="shared" si="12"/>
        <v>4</v>
      </c>
      <c r="BV49" s="78"/>
      <c r="BW49" s="78"/>
      <c r="BX49" s="78"/>
      <c r="BY49" s="78"/>
      <c r="BZ49" s="78"/>
      <c r="CA49" s="78"/>
      <c r="CB49" s="78"/>
      <c r="CC49" s="78"/>
      <c r="CD49" s="78"/>
    </row>
    <row r="50" ht="9.0" customHeight="1">
      <c r="A50" s="90">
        <f t="shared" si="10"/>
        <v>3</v>
      </c>
      <c r="B50" s="78" t="str">
        <f t="shared" ref="B50:I50" si="224">CHAR(164)</f>
        <v>¤</v>
      </c>
      <c r="C50" s="78" t="str">
        <f t="shared" si="224"/>
        <v>¤</v>
      </c>
      <c r="D50" s="78" t="str">
        <f t="shared" si="224"/>
        <v>¤</v>
      </c>
      <c r="E50" s="78" t="str">
        <f t="shared" si="224"/>
        <v>¤</v>
      </c>
      <c r="F50" s="78" t="str">
        <f t="shared" si="224"/>
        <v>¤</v>
      </c>
      <c r="G50" s="78" t="str">
        <f t="shared" si="224"/>
        <v>¤</v>
      </c>
      <c r="H50" s="78" t="str">
        <f t="shared" si="224"/>
        <v>¤</v>
      </c>
      <c r="I50" s="78" t="str">
        <f t="shared" si="224"/>
        <v>¤</v>
      </c>
      <c r="J50" s="143" t="s">
        <v>262</v>
      </c>
      <c r="K50" s="78" t="str">
        <f t="shared" si="152"/>
        <v>¤</v>
      </c>
      <c r="L50" s="78" t="str">
        <f t="shared" ref="L50:P50" si="225">CHAR(164)</f>
        <v>¤</v>
      </c>
      <c r="M50" s="78" t="str">
        <f t="shared" si="225"/>
        <v>¤</v>
      </c>
      <c r="N50" s="78" t="str">
        <f t="shared" si="225"/>
        <v>¤</v>
      </c>
      <c r="O50" s="78" t="str">
        <f t="shared" si="225"/>
        <v>¤</v>
      </c>
      <c r="P50" s="78" t="str">
        <f t="shared" si="225"/>
        <v>¤</v>
      </c>
      <c r="Q50" s="172" t="s">
        <v>274</v>
      </c>
      <c r="R50" s="172" t="s">
        <v>274</v>
      </c>
      <c r="S50" s="172" t="s">
        <v>274</v>
      </c>
      <c r="T50" s="172" t="s">
        <v>274</v>
      </c>
      <c r="U50" s="172" t="s">
        <v>274</v>
      </c>
      <c r="V50" s="172" t="s">
        <v>274</v>
      </c>
      <c r="W50" s="172" t="s">
        <v>274</v>
      </c>
      <c r="X50" s="172" t="s">
        <v>274</v>
      </c>
      <c r="Y50" s="78" t="str">
        <f t="shared" ref="Y50:BT50" si="226">CHAR(164)</f>
        <v>¤</v>
      </c>
      <c r="Z50" s="78" t="str">
        <f t="shared" si="226"/>
        <v>¤</v>
      </c>
      <c r="AA50" s="78" t="str">
        <f t="shared" si="226"/>
        <v>¤</v>
      </c>
      <c r="AB50" s="78" t="str">
        <f t="shared" si="226"/>
        <v>¤</v>
      </c>
      <c r="AC50" s="78" t="str">
        <f t="shared" si="226"/>
        <v>¤</v>
      </c>
      <c r="AD50" s="78" t="str">
        <f t="shared" si="226"/>
        <v>¤</v>
      </c>
      <c r="AE50" s="78" t="str">
        <f t="shared" si="226"/>
        <v>¤</v>
      </c>
      <c r="AF50" s="78" t="str">
        <f t="shared" si="226"/>
        <v>¤</v>
      </c>
      <c r="AG50" s="78" t="str">
        <f t="shared" si="226"/>
        <v>¤</v>
      </c>
      <c r="AH50" s="78" t="str">
        <f t="shared" si="226"/>
        <v>¤</v>
      </c>
      <c r="AI50" s="78" t="str">
        <f t="shared" si="226"/>
        <v>¤</v>
      </c>
      <c r="AJ50" s="78" t="str">
        <f t="shared" si="226"/>
        <v>¤</v>
      </c>
      <c r="AK50" s="78" t="str">
        <f t="shared" si="226"/>
        <v>¤</v>
      </c>
      <c r="AL50" s="78" t="str">
        <f t="shared" si="226"/>
        <v>¤</v>
      </c>
      <c r="AM50" s="78" t="str">
        <f t="shared" si="226"/>
        <v>¤</v>
      </c>
      <c r="AN50" s="78" t="str">
        <f t="shared" si="226"/>
        <v>¤</v>
      </c>
      <c r="AO50" s="78" t="str">
        <f t="shared" si="226"/>
        <v>¤</v>
      </c>
      <c r="AP50" s="78" t="str">
        <f t="shared" si="226"/>
        <v>¤</v>
      </c>
      <c r="AQ50" s="78" t="str">
        <f t="shared" si="226"/>
        <v>¤</v>
      </c>
      <c r="AR50" s="78" t="str">
        <f t="shared" si="226"/>
        <v>¤</v>
      </c>
      <c r="AS50" s="78" t="str">
        <f t="shared" si="226"/>
        <v>¤</v>
      </c>
      <c r="AT50" s="78" t="str">
        <f t="shared" si="226"/>
        <v>¤</v>
      </c>
      <c r="AU50" s="78" t="str">
        <f t="shared" si="226"/>
        <v>¤</v>
      </c>
      <c r="AV50" s="78" t="str">
        <f t="shared" si="226"/>
        <v>¤</v>
      </c>
      <c r="AW50" s="78" t="str">
        <f t="shared" si="226"/>
        <v>¤</v>
      </c>
      <c r="AX50" s="78" t="str">
        <f t="shared" si="226"/>
        <v>¤</v>
      </c>
      <c r="AY50" s="78" t="str">
        <f t="shared" si="226"/>
        <v>¤</v>
      </c>
      <c r="AZ50" s="78" t="str">
        <f t="shared" si="226"/>
        <v>¤</v>
      </c>
      <c r="BA50" s="78" t="str">
        <f t="shared" si="226"/>
        <v>¤</v>
      </c>
      <c r="BB50" s="78" t="str">
        <f t="shared" si="226"/>
        <v>¤</v>
      </c>
      <c r="BC50" s="78" t="str">
        <f t="shared" si="226"/>
        <v>¤</v>
      </c>
      <c r="BD50" s="78" t="str">
        <f t="shared" si="226"/>
        <v>¤</v>
      </c>
      <c r="BE50" s="78" t="str">
        <f t="shared" si="226"/>
        <v>¤</v>
      </c>
      <c r="BF50" s="78" t="str">
        <f t="shared" si="226"/>
        <v>¤</v>
      </c>
      <c r="BG50" s="78" t="str">
        <f t="shared" si="226"/>
        <v>¤</v>
      </c>
      <c r="BH50" s="78" t="str">
        <f t="shared" si="226"/>
        <v>¤</v>
      </c>
      <c r="BI50" s="78" t="str">
        <f t="shared" si="226"/>
        <v>¤</v>
      </c>
      <c r="BJ50" s="78" t="str">
        <f t="shared" si="226"/>
        <v>¤</v>
      </c>
      <c r="BK50" s="78" t="str">
        <f t="shared" si="226"/>
        <v>¤</v>
      </c>
      <c r="BL50" s="78" t="str">
        <f t="shared" si="226"/>
        <v>¤</v>
      </c>
      <c r="BM50" s="78" t="str">
        <f t="shared" si="226"/>
        <v>¤</v>
      </c>
      <c r="BN50" s="78" t="str">
        <f t="shared" si="226"/>
        <v>¤</v>
      </c>
      <c r="BO50" s="78" t="str">
        <f t="shared" si="226"/>
        <v>¤</v>
      </c>
      <c r="BP50" s="78" t="str">
        <f t="shared" si="226"/>
        <v>¤</v>
      </c>
      <c r="BQ50" s="78" t="str">
        <f t="shared" si="226"/>
        <v>¤</v>
      </c>
      <c r="BR50" s="78" t="str">
        <f t="shared" si="226"/>
        <v>¤</v>
      </c>
      <c r="BS50" s="78" t="str">
        <f t="shared" si="226"/>
        <v>¤</v>
      </c>
      <c r="BT50" s="78" t="str">
        <f t="shared" si="226"/>
        <v>¤</v>
      </c>
      <c r="BU50" s="90">
        <f t="shared" si="12"/>
        <v>3</v>
      </c>
      <c r="BV50" s="78"/>
      <c r="BW50" s="78"/>
      <c r="BX50" s="78"/>
      <c r="BY50" s="78"/>
      <c r="BZ50" s="78"/>
      <c r="CA50" s="78"/>
      <c r="CB50" s="78"/>
      <c r="CC50" s="78"/>
      <c r="CD50" s="78"/>
    </row>
    <row r="51" ht="9.0" customHeight="1">
      <c r="A51" s="90">
        <f t="shared" si="10"/>
        <v>2</v>
      </c>
      <c r="B51" s="78" t="str">
        <f t="shared" ref="B51:BT51" si="227">CHAR(164)</f>
        <v>¤</v>
      </c>
      <c r="C51" s="78" t="str">
        <f t="shared" si="227"/>
        <v>¤</v>
      </c>
      <c r="D51" s="78" t="str">
        <f t="shared" si="227"/>
        <v>¤</v>
      </c>
      <c r="E51" s="78" t="str">
        <f t="shared" si="227"/>
        <v>¤</v>
      </c>
      <c r="F51" s="78" t="str">
        <f t="shared" si="227"/>
        <v>¤</v>
      </c>
      <c r="G51" s="78" t="str">
        <f t="shared" si="227"/>
        <v>¤</v>
      </c>
      <c r="H51" s="78" t="str">
        <f t="shared" si="227"/>
        <v>¤</v>
      </c>
      <c r="I51" s="78" t="str">
        <f t="shared" si="227"/>
        <v>¤</v>
      </c>
      <c r="J51" s="78" t="str">
        <f t="shared" si="227"/>
        <v>¤</v>
      </c>
      <c r="K51" s="78" t="str">
        <f t="shared" si="227"/>
        <v>¤</v>
      </c>
      <c r="L51" s="78" t="str">
        <f t="shared" si="227"/>
        <v>¤</v>
      </c>
      <c r="M51" s="78" t="str">
        <f t="shared" si="227"/>
        <v>¤</v>
      </c>
      <c r="N51" s="78" t="str">
        <f t="shared" si="227"/>
        <v>¤</v>
      </c>
      <c r="O51" s="78" t="str">
        <f t="shared" si="227"/>
        <v>¤</v>
      </c>
      <c r="P51" s="78" t="str">
        <f t="shared" si="227"/>
        <v>¤</v>
      </c>
      <c r="Q51" s="78" t="str">
        <f t="shared" si="227"/>
        <v>¤</v>
      </c>
      <c r="R51" s="78" t="str">
        <f t="shared" si="227"/>
        <v>¤</v>
      </c>
      <c r="S51" s="78" t="str">
        <f t="shared" si="227"/>
        <v>¤</v>
      </c>
      <c r="T51" s="78" t="str">
        <f t="shared" si="227"/>
        <v>¤</v>
      </c>
      <c r="U51" s="78" t="str">
        <f t="shared" si="227"/>
        <v>¤</v>
      </c>
      <c r="V51" s="78" t="str">
        <f t="shared" si="227"/>
        <v>¤</v>
      </c>
      <c r="W51" s="78" t="str">
        <f t="shared" si="227"/>
        <v>¤</v>
      </c>
      <c r="X51" s="78" t="str">
        <f t="shared" si="227"/>
        <v>¤</v>
      </c>
      <c r="Y51" s="78" t="str">
        <f t="shared" si="227"/>
        <v>¤</v>
      </c>
      <c r="Z51" s="78" t="str">
        <f t="shared" si="227"/>
        <v>¤</v>
      </c>
      <c r="AA51" s="78" t="str">
        <f t="shared" si="227"/>
        <v>¤</v>
      </c>
      <c r="AB51" s="78" t="str">
        <f t="shared" si="227"/>
        <v>¤</v>
      </c>
      <c r="AC51" s="78" t="str">
        <f t="shared" si="227"/>
        <v>¤</v>
      </c>
      <c r="AD51" s="78" t="str">
        <f t="shared" si="227"/>
        <v>¤</v>
      </c>
      <c r="AE51" s="78" t="str">
        <f t="shared" si="227"/>
        <v>¤</v>
      </c>
      <c r="AF51" s="78" t="str">
        <f t="shared" si="227"/>
        <v>¤</v>
      </c>
      <c r="AG51" s="78" t="str">
        <f t="shared" si="227"/>
        <v>¤</v>
      </c>
      <c r="AH51" s="78" t="str">
        <f t="shared" si="227"/>
        <v>¤</v>
      </c>
      <c r="AI51" s="78" t="str">
        <f t="shared" si="227"/>
        <v>¤</v>
      </c>
      <c r="AJ51" s="78" t="str">
        <f t="shared" si="227"/>
        <v>¤</v>
      </c>
      <c r="AK51" s="78" t="str">
        <f t="shared" si="227"/>
        <v>¤</v>
      </c>
      <c r="AL51" s="78" t="str">
        <f t="shared" si="227"/>
        <v>¤</v>
      </c>
      <c r="AM51" s="78" t="str">
        <f t="shared" si="227"/>
        <v>¤</v>
      </c>
      <c r="AN51" s="78" t="str">
        <f t="shared" si="227"/>
        <v>¤</v>
      </c>
      <c r="AO51" s="78" t="str">
        <f t="shared" si="227"/>
        <v>¤</v>
      </c>
      <c r="AP51" s="78" t="str">
        <f t="shared" si="227"/>
        <v>¤</v>
      </c>
      <c r="AQ51" s="78" t="str">
        <f t="shared" si="227"/>
        <v>¤</v>
      </c>
      <c r="AR51" s="78" t="str">
        <f t="shared" si="227"/>
        <v>¤</v>
      </c>
      <c r="AS51" s="78" t="str">
        <f t="shared" si="227"/>
        <v>¤</v>
      </c>
      <c r="AT51" s="78" t="str">
        <f t="shared" si="227"/>
        <v>¤</v>
      </c>
      <c r="AU51" s="78" t="str">
        <f t="shared" si="227"/>
        <v>¤</v>
      </c>
      <c r="AV51" s="78" t="str">
        <f t="shared" si="227"/>
        <v>¤</v>
      </c>
      <c r="AW51" s="78" t="str">
        <f t="shared" si="227"/>
        <v>¤</v>
      </c>
      <c r="AX51" s="78" t="str">
        <f t="shared" si="227"/>
        <v>¤</v>
      </c>
      <c r="AY51" s="78" t="str">
        <f t="shared" si="227"/>
        <v>¤</v>
      </c>
      <c r="AZ51" s="78" t="str">
        <f t="shared" si="227"/>
        <v>¤</v>
      </c>
      <c r="BA51" s="78" t="str">
        <f t="shared" si="227"/>
        <v>¤</v>
      </c>
      <c r="BB51" s="78" t="str">
        <f t="shared" si="227"/>
        <v>¤</v>
      </c>
      <c r="BC51" s="78" t="str">
        <f t="shared" si="227"/>
        <v>¤</v>
      </c>
      <c r="BD51" s="78" t="str">
        <f t="shared" si="227"/>
        <v>¤</v>
      </c>
      <c r="BE51" s="78" t="str">
        <f t="shared" si="227"/>
        <v>¤</v>
      </c>
      <c r="BF51" s="78" t="str">
        <f t="shared" si="227"/>
        <v>¤</v>
      </c>
      <c r="BG51" s="78" t="str">
        <f t="shared" si="227"/>
        <v>¤</v>
      </c>
      <c r="BH51" s="78" t="str">
        <f t="shared" si="227"/>
        <v>¤</v>
      </c>
      <c r="BI51" s="78" t="str">
        <f t="shared" si="227"/>
        <v>¤</v>
      </c>
      <c r="BJ51" s="78" t="str">
        <f t="shared" si="227"/>
        <v>¤</v>
      </c>
      <c r="BK51" s="78" t="str">
        <f t="shared" si="227"/>
        <v>¤</v>
      </c>
      <c r="BL51" s="78" t="str">
        <f t="shared" si="227"/>
        <v>¤</v>
      </c>
      <c r="BM51" s="78" t="str">
        <f t="shared" si="227"/>
        <v>¤</v>
      </c>
      <c r="BN51" s="78" t="str">
        <f t="shared" si="227"/>
        <v>¤</v>
      </c>
      <c r="BO51" s="78" t="str">
        <f t="shared" si="227"/>
        <v>¤</v>
      </c>
      <c r="BP51" s="78" t="str">
        <f t="shared" si="227"/>
        <v>¤</v>
      </c>
      <c r="BQ51" s="78" t="str">
        <f t="shared" si="227"/>
        <v>¤</v>
      </c>
      <c r="BR51" s="78" t="str">
        <f t="shared" si="227"/>
        <v>¤</v>
      </c>
      <c r="BS51" s="78" t="str">
        <f t="shared" si="227"/>
        <v>¤</v>
      </c>
      <c r="BT51" s="78" t="str">
        <f t="shared" si="227"/>
        <v>¤</v>
      </c>
      <c r="BU51" s="90">
        <f t="shared" si="12"/>
        <v>2</v>
      </c>
      <c r="BV51" s="78"/>
      <c r="BW51" s="78"/>
      <c r="BX51" s="78"/>
      <c r="BY51" s="78"/>
      <c r="BZ51" s="78"/>
      <c r="CA51" s="78"/>
      <c r="CB51" s="78"/>
      <c r="CC51" s="78"/>
      <c r="CD51" s="78"/>
    </row>
    <row r="52" ht="9.0" customHeight="1">
      <c r="A52" s="90">
        <f t="shared" si="10"/>
        <v>1</v>
      </c>
      <c r="B52" s="78" t="str">
        <f t="shared" ref="B52:BT52" si="228">CHAR(164)</f>
        <v>¤</v>
      </c>
      <c r="C52" s="78" t="str">
        <f t="shared" si="228"/>
        <v>¤</v>
      </c>
      <c r="D52" s="78" t="str">
        <f t="shared" si="228"/>
        <v>¤</v>
      </c>
      <c r="E52" s="78" t="str">
        <f t="shared" si="228"/>
        <v>¤</v>
      </c>
      <c r="F52" s="78" t="str">
        <f t="shared" si="228"/>
        <v>¤</v>
      </c>
      <c r="G52" s="78" t="str">
        <f t="shared" si="228"/>
        <v>¤</v>
      </c>
      <c r="H52" s="78" t="str">
        <f t="shared" si="228"/>
        <v>¤</v>
      </c>
      <c r="I52" s="78" t="str">
        <f t="shared" si="228"/>
        <v>¤</v>
      </c>
      <c r="J52" s="78" t="str">
        <f t="shared" si="228"/>
        <v>¤</v>
      </c>
      <c r="K52" s="78" t="str">
        <f t="shared" si="228"/>
        <v>¤</v>
      </c>
      <c r="L52" s="78" t="str">
        <f t="shared" si="228"/>
        <v>¤</v>
      </c>
      <c r="M52" s="78" t="str">
        <f t="shared" si="228"/>
        <v>¤</v>
      </c>
      <c r="N52" s="78" t="str">
        <f t="shared" si="228"/>
        <v>¤</v>
      </c>
      <c r="O52" s="78" t="str">
        <f t="shared" si="228"/>
        <v>¤</v>
      </c>
      <c r="P52" s="78" t="str">
        <f t="shared" si="228"/>
        <v>¤</v>
      </c>
      <c r="Q52" s="78" t="str">
        <f t="shared" si="228"/>
        <v>¤</v>
      </c>
      <c r="R52" s="78" t="str">
        <f t="shared" si="228"/>
        <v>¤</v>
      </c>
      <c r="S52" s="78" t="str">
        <f t="shared" si="228"/>
        <v>¤</v>
      </c>
      <c r="T52" s="78" t="str">
        <f t="shared" si="228"/>
        <v>¤</v>
      </c>
      <c r="U52" s="78" t="str">
        <f t="shared" si="228"/>
        <v>¤</v>
      </c>
      <c r="V52" s="78" t="str">
        <f t="shared" si="228"/>
        <v>¤</v>
      </c>
      <c r="W52" s="78" t="str">
        <f t="shared" si="228"/>
        <v>¤</v>
      </c>
      <c r="X52" s="78" t="str">
        <f t="shared" si="228"/>
        <v>¤</v>
      </c>
      <c r="Y52" s="78" t="str">
        <f t="shared" si="228"/>
        <v>¤</v>
      </c>
      <c r="Z52" s="78" t="str">
        <f t="shared" si="228"/>
        <v>¤</v>
      </c>
      <c r="AA52" s="78" t="str">
        <f t="shared" si="228"/>
        <v>¤</v>
      </c>
      <c r="AB52" s="78" t="str">
        <f t="shared" si="228"/>
        <v>¤</v>
      </c>
      <c r="AC52" s="78" t="str">
        <f t="shared" si="228"/>
        <v>¤</v>
      </c>
      <c r="AD52" s="78" t="str">
        <f t="shared" si="228"/>
        <v>¤</v>
      </c>
      <c r="AE52" s="78" t="str">
        <f t="shared" si="228"/>
        <v>¤</v>
      </c>
      <c r="AF52" s="78" t="str">
        <f t="shared" si="228"/>
        <v>¤</v>
      </c>
      <c r="AG52" s="78" t="str">
        <f t="shared" si="228"/>
        <v>¤</v>
      </c>
      <c r="AH52" s="78" t="str">
        <f t="shared" si="228"/>
        <v>¤</v>
      </c>
      <c r="AI52" s="78" t="str">
        <f t="shared" si="228"/>
        <v>¤</v>
      </c>
      <c r="AJ52" s="78" t="str">
        <f t="shared" si="228"/>
        <v>¤</v>
      </c>
      <c r="AK52" s="78" t="str">
        <f t="shared" si="228"/>
        <v>¤</v>
      </c>
      <c r="AL52" s="78" t="str">
        <f t="shared" si="228"/>
        <v>¤</v>
      </c>
      <c r="AM52" s="78" t="str">
        <f t="shared" si="228"/>
        <v>¤</v>
      </c>
      <c r="AN52" s="78" t="str">
        <f t="shared" si="228"/>
        <v>¤</v>
      </c>
      <c r="AO52" s="78" t="str">
        <f t="shared" si="228"/>
        <v>¤</v>
      </c>
      <c r="AP52" s="78" t="str">
        <f t="shared" si="228"/>
        <v>¤</v>
      </c>
      <c r="AQ52" s="78" t="str">
        <f t="shared" si="228"/>
        <v>¤</v>
      </c>
      <c r="AR52" s="78" t="str">
        <f t="shared" si="228"/>
        <v>¤</v>
      </c>
      <c r="AS52" s="78" t="str">
        <f t="shared" si="228"/>
        <v>¤</v>
      </c>
      <c r="AT52" s="78" t="str">
        <f t="shared" si="228"/>
        <v>¤</v>
      </c>
      <c r="AU52" s="78" t="str">
        <f t="shared" si="228"/>
        <v>¤</v>
      </c>
      <c r="AV52" s="78" t="str">
        <f t="shared" si="228"/>
        <v>¤</v>
      </c>
      <c r="AW52" s="78" t="str">
        <f t="shared" si="228"/>
        <v>¤</v>
      </c>
      <c r="AX52" s="78" t="str">
        <f t="shared" si="228"/>
        <v>¤</v>
      </c>
      <c r="AY52" s="78" t="str">
        <f t="shared" si="228"/>
        <v>¤</v>
      </c>
      <c r="AZ52" s="78" t="str">
        <f t="shared" si="228"/>
        <v>¤</v>
      </c>
      <c r="BA52" s="78" t="str">
        <f t="shared" si="228"/>
        <v>¤</v>
      </c>
      <c r="BB52" s="78" t="str">
        <f t="shared" si="228"/>
        <v>¤</v>
      </c>
      <c r="BC52" s="78" t="str">
        <f t="shared" si="228"/>
        <v>¤</v>
      </c>
      <c r="BD52" s="78" t="str">
        <f t="shared" si="228"/>
        <v>¤</v>
      </c>
      <c r="BE52" s="78" t="str">
        <f t="shared" si="228"/>
        <v>¤</v>
      </c>
      <c r="BF52" s="78" t="str">
        <f t="shared" si="228"/>
        <v>¤</v>
      </c>
      <c r="BG52" s="78" t="str">
        <f t="shared" si="228"/>
        <v>¤</v>
      </c>
      <c r="BH52" s="78" t="str">
        <f t="shared" si="228"/>
        <v>¤</v>
      </c>
      <c r="BI52" s="78" t="str">
        <f t="shared" si="228"/>
        <v>¤</v>
      </c>
      <c r="BJ52" s="78" t="str">
        <f t="shared" si="228"/>
        <v>¤</v>
      </c>
      <c r="BK52" s="78" t="str">
        <f t="shared" si="228"/>
        <v>¤</v>
      </c>
      <c r="BL52" s="78" t="str">
        <f t="shared" si="228"/>
        <v>¤</v>
      </c>
      <c r="BM52" s="78" t="str">
        <f t="shared" si="228"/>
        <v>¤</v>
      </c>
      <c r="BN52" s="78" t="str">
        <f t="shared" si="228"/>
        <v>¤</v>
      </c>
      <c r="BO52" s="78" t="str">
        <f t="shared" si="228"/>
        <v>¤</v>
      </c>
      <c r="BP52" s="78" t="str">
        <f t="shared" si="228"/>
        <v>¤</v>
      </c>
      <c r="BQ52" s="78" t="str">
        <f t="shared" si="228"/>
        <v>¤</v>
      </c>
      <c r="BR52" s="78" t="str">
        <f t="shared" si="228"/>
        <v>¤</v>
      </c>
      <c r="BS52" s="78" t="str">
        <f t="shared" si="228"/>
        <v>¤</v>
      </c>
      <c r="BT52" s="78" t="str">
        <f t="shared" si="228"/>
        <v>¤</v>
      </c>
      <c r="BU52" s="90">
        <f t="shared" si="12"/>
        <v>1</v>
      </c>
      <c r="BV52" s="78"/>
      <c r="BW52" s="78"/>
      <c r="BX52" s="78"/>
      <c r="BY52" s="78"/>
      <c r="BZ52" s="78"/>
      <c r="CA52" s="78"/>
      <c r="CB52" s="78"/>
      <c r="CC52" s="78"/>
      <c r="CD52" s="78"/>
    </row>
    <row r="53" ht="9.0" customHeight="1">
      <c r="A53" s="90">
        <f t="shared" si="10"/>
        <v>0</v>
      </c>
      <c r="B53" s="78" t="str">
        <f t="shared" ref="B53:BT53" si="229">CHAR(164)</f>
        <v>¤</v>
      </c>
      <c r="C53" s="78" t="str">
        <f t="shared" si="229"/>
        <v>¤</v>
      </c>
      <c r="D53" s="78" t="str">
        <f t="shared" si="229"/>
        <v>¤</v>
      </c>
      <c r="E53" s="78" t="str">
        <f t="shared" si="229"/>
        <v>¤</v>
      </c>
      <c r="F53" s="78" t="str">
        <f t="shared" si="229"/>
        <v>¤</v>
      </c>
      <c r="G53" s="78" t="str">
        <f t="shared" si="229"/>
        <v>¤</v>
      </c>
      <c r="H53" s="78" t="str">
        <f t="shared" si="229"/>
        <v>¤</v>
      </c>
      <c r="I53" s="78" t="str">
        <f t="shared" si="229"/>
        <v>¤</v>
      </c>
      <c r="J53" s="78" t="str">
        <f t="shared" si="229"/>
        <v>¤</v>
      </c>
      <c r="K53" s="78" t="str">
        <f t="shared" si="229"/>
        <v>¤</v>
      </c>
      <c r="L53" s="78" t="str">
        <f t="shared" si="229"/>
        <v>¤</v>
      </c>
      <c r="M53" s="78" t="str">
        <f t="shared" si="229"/>
        <v>¤</v>
      </c>
      <c r="N53" s="78" t="str">
        <f t="shared" si="229"/>
        <v>¤</v>
      </c>
      <c r="O53" s="78" t="str">
        <f t="shared" si="229"/>
        <v>¤</v>
      </c>
      <c r="P53" s="78" t="str">
        <f t="shared" si="229"/>
        <v>¤</v>
      </c>
      <c r="Q53" s="78" t="str">
        <f t="shared" si="229"/>
        <v>¤</v>
      </c>
      <c r="R53" s="78" t="str">
        <f t="shared" si="229"/>
        <v>¤</v>
      </c>
      <c r="S53" s="78" t="str">
        <f t="shared" si="229"/>
        <v>¤</v>
      </c>
      <c r="T53" s="78" t="str">
        <f t="shared" si="229"/>
        <v>¤</v>
      </c>
      <c r="U53" s="78" t="str">
        <f t="shared" si="229"/>
        <v>¤</v>
      </c>
      <c r="V53" s="78" t="str">
        <f t="shared" si="229"/>
        <v>¤</v>
      </c>
      <c r="W53" s="78" t="str">
        <f t="shared" si="229"/>
        <v>¤</v>
      </c>
      <c r="X53" s="78" t="str">
        <f t="shared" si="229"/>
        <v>¤</v>
      </c>
      <c r="Y53" s="78" t="str">
        <f t="shared" si="229"/>
        <v>¤</v>
      </c>
      <c r="Z53" s="78" t="str">
        <f t="shared" si="229"/>
        <v>¤</v>
      </c>
      <c r="AA53" s="78" t="str">
        <f t="shared" si="229"/>
        <v>¤</v>
      </c>
      <c r="AB53" s="78" t="str">
        <f t="shared" si="229"/>
        <v>¤</v>
      </c>
      <c r="AC53" s="78" t="str">
        <f t="shared" si="229"/>
        <v>¤</v>
      </c>
      <c r="AD53" s="78" t="str">
        <f t="shared" si="229"/>
        <v>¤</v>
      </c>
      <c r="AE53" s="78" t="str">
        <f t="shared" si="229"/>
        <v>¤</v>
      </c>
      <c r="AF53" s="78" t="str">
        <f t="shared" si="229"/>
        <v>¤</v>
      </c>
      <c r="AG53" s="78" t="str">
        <f t="shared" si="229"/>
        <v>¤</v>
      </c>
      <c r="AH53" s="78" t="str">
        <f t="shared" si="229"/>
        <v>¤</v>
      </c>
      <c r="AI53" s="78" t="str">
        <f t="shared" si="229"/>
        <v>¤</v>
      </c>
      <c r="AJ53" s="78" t="str">
        <f t="shared" si="229"/>
        <v>¤</v>
      </c>
      <c r="AK53" s="78" t="str">
        <f t="shared" si="229"/>
        <v>¤</v>
      </c>
      <c r="AL53" s="78" t="str">
        <f t="shared" si="229"/>
        <v>¤</v>
      </c>
      <c r="AM53" s="78" t="str">
        <f t="shared" si="229"/>
        <v>¤</v>
      </c>
      <c r="AN53" s="78" t="str">
        <f t="shared" si="229"/>
        <v>¤</v>
      </c>
      <c r="AO53" s="78" t="str">
        <f t="shared" si="229"/>
        <v>¤</v>
      </c>
      <c r="AP53" s="78" t="str">
        <f t="shared" si="229"/>
        <v>¤</v>
      </c>
      <c r="AQ53" s="78" t="str">
        <f t="shared" si="229"/>
        <v>¤</v>
      </c>
      <c r="AR53" s="78" t="str">
        <f t="shared" si="229"/>
        <v>¤</v>
      </c>
      <c r="AS53" s="78" t="str">
        <f t="shared" si="229"/>
        <v>¤</v>
      </c>
      <c r="AT53" s="78" t="str">
        <f t="shared" si="229"/>
        <v>¤</v>
      </c>
      <c r="AU53" s="78" t="str">
        <f t="shared" si="229"/>
        <v>¤</v>
      </c>
      <c r="AV53" s="78" t="str">
        <f t="shared" si="229"/>
        <v>¤</v>
      </c>
      <c r="AW53" s="78" t="str">
        <f t="shared" si="229"/>
        <v>¤</v>
      </c>
      <c r="AX53" s="78" t="str">
        <f t="shared" si="229"/>
        <v>¤</v>
      </c>
      <c r="AY53" s="78" t="str">
        <f t="shared" si="229"/>
        <v>¤</v>
      </c>
      <c r="AZ53" s="78" t="str">
        <f t="shared" si="229"/>
        <v>¤</v>
      </c>
      <c r="BA53" s="78" t="str">
        <f t="shared" si="229"/>
        <v>¤</v>
      </c>
      <c r="BB53" s="78" t="str">
        <f t="shared" si="229"/>
        <v>¤</v>
      </c>
      <c r="BC53" s="78" t="str">
        <f t="shared" si="229"/>
        <v>¤</v>
      </c>
      <c r="BD53" s="78" t="str">
        <f t="shared" si="229"/>
        <v>¤</v>
      </c>
      <c r="BE53" s="78" t="str">
        <f t="shared" si="229"/>
        <v>¤</v>
      </c>
      <c r="BF53" s="78" t="str">
        <f t="shared" si="229"/>
        <v>¤</v>
      </c>
      <c r="BG53" s="78" t="str">
        <f t="shared" si="229"/>
        <v>¤</v>
      </c>
      <c r="BH53" s="78" t="str">
        <f t="shared" si="229"/>
        <v>¤</v>
      </c>
      <c r="BI53" s="78" t="str">
        <f t="shared" si="229"/>
        <v>¤</v>
      </c>
      <c r="BJ53" s="78" t="str">
        <f t="shared" si="229"/>
        <v>¤</v>
      </c>
      <c r="BK53" s="78" t="str">
        <f t="shared" si="229"/>
        <v>¤</v>
      </c>
      <c r="BL53" s="78" t="str">
        <f t="shared" si="229"/>
        <v>¤</v>
      </c>
      <c r="BM53" s="78" t="str">
        <f t="shared" si="229"/>
        <v>¤</v>
      </c>
      <c r="BN53" s="78" t="str">
        <f t="shared" si="229"/>
        <v>¤</v>
      </c>
      <c r="BO53" s="78" t="str">
        <f t="shared" si="229"/>
        <v>¤</v>
      </c>
      <c r="BP53" s="78" t="str">
        <f t="shared" si="229"/>
        <v>¤</v>
      </c>
      <c r="BQ53" s="78" t="str">
        <f t="shared" si="229"/>
        <v>¤</v>
      </c>
      <c r="BR53" s="78" t="str">
        <f t="shared" si="229"/>
        <v>¤</v>
      </c>
      <c r="BS53" s="78" t="str">
        <f t="shared" si="229"/>
        <v>¤</v>
      </c>
      <c r="BT53" s="78" t="str">
        <f t="shared" si="229"/>
        <v>¤</v>
      </c>
      <c r="BU53" s="90">
        <f t="shared" si="12"/>
        <v>0</v>
      </c>
      <c r="BV53" s="78"/>
      <c r="BW53" s="78"/>
      <c r="BX53" s="78"/>
      <c r="BY53" s="78"/>
      <c r="BZ53" s="78"/>
      <c r="CA53" s="78"/>
      <c r="CB53" s="78"/>
      <c r="CC53" s="78"/>
      <c r="CD53" s="78"/>
    </row>
    <row r="54" ht="9.0" customHeight="1">
      <c r="A54" s="10"/>
      <c r="B54" s="14">
        <v>0.0</v>
      </c>
      <c r="C54" s="14">
        <v>0.0</v>
      </c>
      <c r="D54" s="14">
        <v>0.0</v>
      </c>
      <c r="E54" s="14">
        <v>0.0</v>
      </c>
      <c r="F54" s="14">
        <v>0.0</v>
      </c>
      <c r="G54" s="14">
        <v>0.0</v>
      </c>
      <c r="H54" s="14">
        <v>0.0</v>
      </c>
      <c r="I54" s="14">
        <v>0.0</v>
      </c>
      <c r="J54" s="14">
        <v>0.0</v>
      </c>
      <c r="K54" s="14">
        <v>0.0</v>
      </c>
      <c r="L54" s="14">
        <v>1.0</v>
      </c>
      <c r="M54" s="14">
        <v>1.0</v>
      </c>
      <c r="N54" s="14">
        <v>1.0</v>
      </c>
      <c r="O54" s="14">
        <v>1.0</v>
      </c>
      <c r="P54" s="14">
        <v>1.0</v>
      </c>
      <c r="Q54" s="14">
        <v>1.0</v>
      </c>
      <c r="R54" s="14">
        <v>1.0</v>
      </c>
      <c r="S54" s="14">
        <v>1.0</v>
      </c>
      <c r="T54" s="14">
        <v>1.0</v>
      </c>
      <c r="U54" s="14">
        <v>1.0</v>
      </c>
      <c r="V54" s="14">
        <v>2.0</v>
      </c>
      <c r="W54" s="14">
        <v>2.0</v>
      </c>
      <c r="X54" s="14">
        <v>2.0</v>
      </c>
      <c r="Y54" s="14">
        <v>2.0</v>
      </c>
      <c r="Z54" s="14">
        <v>2.0</v>
      </c>
      <c r="AA54" s="14">
        <v>2.0</v>
      </c>
      <c r="AB54" s="14">
        <v>2.0</v>
      </c>
      <c r="AC54" s="14">
        <v>2.0</v>
      </c>
      <c r="AD54" s="14">
        <v>2.0</v>
      </c>
      <c r="AE54" s="14">
        <v>2.0</v>
      </c>
      <c r="AF54" s="14">
        <v>3.0</v>
      </c>
      <c r="AG54" s="14">
        <v>3.0</v>
      </c>
      <c r="AH54" s="14">
        <v>3.0</v>
      </c>
      <c r="AI54" s="14">
        <v>3.0</v>
      </c>
      <c r="AJ54" s="14">
        <v>3.0</v>
      </c>
      <c r="AK54" s="14">
        <v>3.0</v>
      </c>
      <c r="AL54" s="14">
        <v>3.0</v>
      </c>
      <c r="AM54" s="14">
        <v>3.0</v>
      </c>
      <c r="AN54" s="14">
        <v>3.0</v>
      </c>
      <c r="AO54" s="14">
        <v>3.0</v>
      </c>
      <c r="AP54" s="14">
        <v>4.0</v>
      </c>
      <c r="AQ54" s="14">
        <v>4.0</v>
      </c>
      <c r="AR54" s="14">
        <v>4.0</v>
      </c>
      <c r="AS54" s="14">
        <v>4.0</v>
      </c>
      <c r="AT54" s="14">
        <v>4.0</v>
      </c>
      <c r="AU54" s="14">
        <v>4.0</v>
      </c>
      <c r="AV54" s="14">
        <v>4.0</v>
      </c>
      <c r="AW54" s="14">
        <v>4.0</v>
      </c>
      <c r="AX54" s="14">
        <v>4.0</v>
      </c>
      <c r="AY54" s="14">
        <v>4.0</v>
      </c>
      <c r="AZ54" s="14">
        <v>5.0</v>
      </c>
      <c r="BA54" s="14">
        <v>5.0</v>
      </c>
      <c r="BB54" s="14">
        <v>5.0</v>
      </c>
      <c r="BC54" s="14">
        <v>5.0</v>
      </c>
      <c r="BD54" s="14">
        <v>5.0</v>
      </c>
      <c r="BE54" s="14">
        <v>5.0</v>
      </c>
      <c r="BF54" s="14">
        <v>5.0</v>
      </c>
      <c r="BG54" s="14">
        <v>5.0</v>
      </c>
      <c r="BH54" s="14">
        <v>5.0</v>
      </c>
      <c r="BI54" s="14">
        <v>5.0</v>
      </c>
      <c r="BJ54" s="14">
        <v>6.0</v>
      </c>
      <c r="BK54" s="14">
        <v>6.0</v>
      </c>
      <c r="BL54" s="14">
        <v>6.0</v>
      </c>
      <c r="BM54" s="14">
        <v>6.0</v>
      </c>
      <c r="BN54" s="14">
        <v>6.0</v>
      </c>
      <c r="BO54" s="14">
        <v>6.0</v>
      </c>
      <c r="BP54" s="14">
        <v>6.0</v>
      </c>
      <c r="BQ54" s="14">
        <v>6.0</v>
      </c>
      <c r="BR54" s="14">
        <v>6.0</v>
      </c>
      <c r="BS54" s="14">
        <v>6.0</v>
      </c>
      <c r="BT54" s="14">
        <v>7.0</v>
      </c>
      <c r="BU54" s="10"/>
      <c r="BV54" s="20"/>
      <c r="BW54" s="20"/>
      <c r="BX54" s="20"/>
      <c r="BY54" s="20"/>
      <c r="BZ54" s="20"/>
      <c r="CA54" s="20"/>
      <c r="CB54" s="20"/>
      <c r="CC54" s="20"/>
      <c r="CD54" s="20"/>
    </row>
    <row r="55" ht="9.0" customHeight="1">
      <c r="A55" s="10"/>
      <c r="B55" s="14">
        <v>0.0</v>
      </c>
      <c r="C55" s="45">
        <f t="shared" ref="C55:K55" si="230">B55+1</f>
        <v>1</v>
      </c>
      <c r="D55" s="45">
        <f t="shared" si="230"/>
        <v>2</v>
      </c>
      <c r="E55" s="45">
        <f t="shared" si="230"/>
        <v>3</v>
      </c>
      <c r="F55" s="45">
        <f t="shared" si="230"/>
        <v>4</v>
      </c>
      <c r="G55" s="45">
        <f t="shared" si="230"/>
        <v>5</v>
      </c>
      <c r="H55" s="45">
        <f t="shared" si="230"/>
        <v>6</v>
      </c>
      <c r="I55" s="45">
        <f t="shared" si="230"/>
        <v>7</v>
      </c>
      <c r="J55" s="45">
        <f t="shared" si="230"/>
        <v>8</v>
      </c>
      <c r="K55" s="45">
        <f t="shared" si="230"/>
        <v>9</v>
      </c>
      <c r="L55" s="14">
        <v>0.0</v>
      </c>
      <c r="M55" s="45">
        <f t="shared" ref="M55:U55" si="231">L55+1</f>
        <v>1</v>
      </c>
      <c r="N55" s="45">
        <f t="shared" si="231"/>
        <v>2</v>
      </c>
      <c r="O55" s="45">
        <f t="shared" si="231"/>
        <v>3</v>
      </c>
      <c r="P55" s="45">
        <f t="shared" si="231"/>
        <v>4</v>
      </c>
      <c r="Q55" s="45">
        <f t="shared" si="231"/>
        <v>5</v>
      </c>
      <c r="R55" s="45">
        <f t="shared" si="231"/>
        <v>6</v>
      </c>
      <c r="S55" s="45">
        <f t="shared" si="231"/>
        <v>7</v>
      </c>
      <c r="T55" s="45">
        <f t="shared" si="231"/>
        <v>8</v>
      </c>
      <c r="U55" s="45">
        <f t="shared" si="231"/>
        <v>9</v>
      </c>
      <c r="V55" s="14">
        <v>0.0</v>
      </c>
      <c r="W55" s="45">
        <f t="shared" ref="W55:AE55" si="232">V55+1</f>
        <v>1</v>
      </c>
      <c r="X55" s="45">
        <f t="shared" si="232"/>
        <v>2</v>
      </c>
      <c r="Y55" s="45">
        <f t="shared" si="232"/>
        <v>3</v>
      </c>
      <c r="Z55" s="45">
        <f t="shared" si="232"/>
        <v>4</v>
      </c>
      <c r="AA55" s="45">
        <f t="shared" si="232"/>
        <v>5</v>
      </c>
      <c r="AB55" s="45">
        <f t="shared" si="232"/>
        <v>6</v>
      </c>
      <c r="AC55" s="45">
        <f t="shared" si="232"/>
        <v>7</v>
      </c>
      <c r="AD55" s="45">
        <f t="shared" si="232"/>
        <v>8</v>
      </c>
      <c r="AE55" s="45">
        <f t="shared" si="232"/>
        <v>9</v>
      </c>
      <c r="AF55" s="14">
        <v>0.0</v>
      </c>
      <c r="AG55" s="45">
        <f t="shared" ref="AG55:AO55" si="233">AF55+1</f>
        <v>1</v>
      </c>
      <c r="AH55" s="45">
        <f t="shared" si="233"/>
        <v>2</v>
      </c>
      <c r="AI55" s="45">
        <f t="shared" si="233"/>
        <v>3</v>
      </c>
      <c r="AJ55" s="45">
        <f t="shared" si="233"/>
        <v>4</v>
      </c>
      <c r="AK55" s="45">
        <f t="shared" si="233"/>
        <v>5</v>
      </c>
      <c r="AL55" s="45">
        <f t="shared" si="233"/>
        <v>6</v>
      </c>
      <c r="AM55" s="45">
        <f t="shared" si="233"/>
        <v>7</v>
      </c>
      <c r="AN55" s="45">
        <f t="shared" si="233"/>
        <v>8</v>
      </c>
      <c r="AO55" s="45">
        <f t="shared" si="233"/>
        <v>9</v>
      </c>
      <c r="AP55" s="14">
        <v>0.0</v>
      </c>
      <c r="AQ55" s="45">
        <f t="shared" ref="AQ55:AY55" si="234">AP55+1</f>
        <v>1</v>
      </c>
      <c r="AR55" s="45">
        <f t="shared" si="234"/>
        <v>2</v>
      </c>
      <c r="AS55" s="45">
        <f t="shared" si="234"/>
        <v>3</v>
      </c>
      <c r="AT55" s="45">
        <f t="shared" si="234"/>
        <v>4</v>
      </c>
      <c r="AU55" s="45">
        <f t="shared" si="234"/>
        <v>5</v>
      </c>
      <c r="AV55" s="45">
        <f t="shared" si="234"/>
        <v>6</v>
      </c>
      <c r="AW55" s="45">
        <f t="shared" si="234"/>
        <v>7</v>
      </c>
      <c r="AX55" s="45">
        <f t="shared" si="234"/>
        <v>8</v>
      </c>
      <c r="AY55" s="45">
        <f t="shared" si="234"/>
        <v>9</v>
      </c>
      <c r="AZ55" s="14">
        <v>0.0</v>
      </c>
      <c r="BA55" s="45">
        <f t="shared" ref="BA55:BI55" si="235">AZ55+1</f>
        <v>1</v>
      </c>
      <c r="BB55" s="45">
        <f t="shared" si="235"/>
        <v>2</v>
      </c>
      <c r="BC55" s="45">
        <f t="shared" si="235"/>
        <v>3</v>
      </c>
      <c r="BD55" s="45">
        <f t="shared" si="235"/>
        <v>4</v>
      </c>
      <c r="BE55" s="45">
        <f t="shared" si="235"/>
        <v>5</v>
      </c>
      <c r="BF55" s="45">
        <f t="shared" si="235"/>
        <v>6</v>
      </c>
      <c r="BG55" s="45">
        <f t="shared" si="235"/>
        <v>7</v>
      </c>
      <c r="BH55" s="45">
        <f t="shared" si="235"/>
        <v>8</v>
      </c>
      <c r="BI55" s="45">
        <f t="shared" si="235"/>
        <v>9</v>
      </c>
      <c r="BJ55" s="14">
        <v>0.0</v>
      </c>
      <c r="BK55" s="45">
        <f t="shared" ref="BK55:BS55" si="236">BJ55+1</f>
        <v>1</v>
      </c>
      <c r="BL55" s="45">
        <f t="shared" si="236"/>
        <v>2</v>
      </c>
      <c r="BM55" s="45">
        <f t="shared" si="236"/>
        <v>3</v>
      </c>
      <c r="BN55" s="45">
        <f t="shared" si="236"/>
        <v>4</v>
      </c>
      <c r="BO55" s="45">
        <f t="shared" si="236"/>
        <v>5</v>
      </c>
      <c r="BP55" s="45">
        <f t="shared" si="236"/>
        <v>6</v>
      </c>
      <c r="BQ55" s="45">
        <f t="shared" si="236"/>
        <v>7</v>
      </c>
      <c r="BR55" s="45">
        <f t="shared" si="236"/>
        <v>8</v>
      </c>
      <c r="BS55" s="45">
        <f t="shared" si="236"/>
        <v>9</v>
      </c>
      <c r="BT55" s="14">
        <v>0.0</v>
      </c>
      <c r="BU55" s="10"/>
      <c r="BV55" s="78"/>
      <c r="BW55" s="78"/>
      <c r="BX55" s="78"/>
      <c r="BY55" s="78"/>
      <c r="BZ55" s="78"/>
      <c r="CA55" s="78"/>
      <c r="CB55" s="78"/>
      <c r="CC55" s="78"/>
      <c r="CD55" s="78"/>
    </row>
    <row r="56" ht="11.25" customHeight="1">
      <c r="A56" s="10"/>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10"/>
      <c r="BV56" s="78"/>
      <c r="BW56" s="78"/>
      <c r="BX56" s="78"/>
      <c r="BY56" s="78"/>
      <c r="BZ56" s="78"/>
      <c r="CA56" s="78"/>
      <c r="CB56" s="78"/>
      <c r="CC56" s="78"/>
      <c r="CD56" s="78"/>
    </row>
    <row r="57">
      <c r="A57" s="10"/>
      <c r="B57" s="78"/>
      <c r="C57" s="78"/>
      <c r="D57" s="78"/>
      <c r="E57" s="78"/>
      <c r="F57" s="78"/>
      <c r="G57" s="78"/>
      <c r="H57" s="78"/>
      <c r="I57" s="78"/>
      <c r="J57" s="78"/>
      <c r="K57" s="14"/>
      <c r="L57" s="20">
        <v>70.0</v>
      </c>
      <c r="M57" s="20">
        <v>50.0</v>
      </c>
      <c r="N57" s="192" t="s">
        <v>283</v>
      </c>
      <c r="O57" s="78"/>
      <c r="P57" s="78"/>
      <c r="Q57" s="78"/>
      <c r="R57" s="78"/>
      <c r="S57" s="78"/>
      <c r="T57" s="78"/>
      <c r="U57" s="78"/>
      <c r="V57" s="78"/>
      <c r="W57" s="78"/>
      <c r="X57" s="78"/>
      <c r="Y57" s="78"/>
      <c r="Z57" s="78"/>
      <c r="AA57" s="78"/>
      <c r="AB57" s="78"/>
      <c r="AE57" s="104"/>
      <c r="AF57" s="104"/>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10"/>
      <c r="BV57" s="78"/>
      <c r="BW57" s="78"/>
      <c r="BX57" s="78"/>
      <c r="BY57" s="78"/>
      <c r="BZ57" s="78"/>
      <c r="CA57" s="78"/>
      <c r="CB57" s="78"/>
      <c r="CC57" s="78"/>
      <c r="CD57" s="78"/>
    </row>
    <row r="58">
      <c r="A58" s="10"/>
      <c r="B58" s="78"/>
      <c r="C58" s="78"/>
      <c r="D58" s="78"/>
      <c r="E58" s="78"/>
      <c r="F58" s="78"/>
      <c r="G58" s="78"/>
      <c r="H58" s="78"/>
      <c r="I58" s="78"/>
      <c r="J58" s="78"/>
      <c r="K58" s="191" t="s">
        <v>246</v>
      </c>
      <c r="L58" s="20">
        <v>27.0</v>
      </c>
      <c r="M58" s="20">
        <v>14.0</v>
      </c>
      <c r="N58" s="192" t="s">
        <v>284</v>
      </c>
      <c r="O58" s="78"/>
      <c r="P58" s="78"/>
      <c r="Q58" s="78"/>
      <c r="R58" s="78"/>
      <c r="S58" s="78"/>
      <c r="T58" s="78"/>
      <c r="U58" s="78"/>
      <c r="V58" s="78"/>
      <c r="W58" s="78"/>
      <c r="X58" s="78"/>
      <c r="Y58" s="78"/>
      <c r="Z58" s="78"/>
      <c r="AA58" s="78"/>
      <c r="AB58" s="78"/>
      <c r="AE58" s="104"/>
      <c r="AF58" s="104"/>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10"/>
      <c r="BV58" s="78"/>
      <c r="BW58" s="78"/>
      <c r="BX58" s="78"/>
      <c r="BY58" s="78"/>
      <c r="BZ58" s="78"/>
      <c r="CA58" s="78"/>
      <c r="CB58" s="78"/>
      <c r="CC58" s="78"/>
      <c r="CD58" s="78"/>
    </row>
    <row r="59">
      <c r="A59" s="10"/>
      <c r="B59" s="78"/>
      <c r="C59" s="78"/>
      <c r="D59" s="78"/>
      <c r="E59" s="78"/>
      <c r="F59" s="78"/>
      <c r="G59" s="78"/>
      <c r="H59" s="78"/>
      <c r="I59" s="78"/>
      <c r="J59" s="78"/>
      <c r="K59" s="163" t="s">
        <v>268</v>
      </c>
      <c r="L59" s="20">
        <v>12.0</v>
      </c>
      <c r="M59" s="20">
        <v>38.0</v>
      </c>
      <c r="N59" s="192" t="s">
        <v>285</v>
      </c>
      <c r="O59" s="78"/>
      <c r="P59" s="78"/>
      <c r="Q59" s="78"/>
      <c r="R59" s="78"/>
      <c r="S59" s="78"/>
      <c r="T59" s="78"/>
      <c r="U59" s="78"/>
      <c r="V59" s="78"/>
      <c r="W59" s="78"/>
      <c r="X59" s="78"/>
      <c r="Y59" s="78"/>
      <c r="Z59" s="78"/>
      <c r="AA59" s="78"/>
      <c r="AB59" s="78"/>
      <c r="AE59" s="104"/>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10"/>
      <c r="BV59" s="78"/>
      <c r="BW59" s="78"/>
      <c r="BX59" s="78"/>
      <c r="BY59" s="78"/>
      <c r="BZ59" s="78"/>
      <c r="CA59" s="78"/>
      <c r="CB59" s="78"/>
      <c r="CC59" s="78"/>
      <c r="CD59" s="78"/>
    </row>
    <row r="60">
      <c r="A60" s="10"/>
      <c r="B60" s="78"/>
      <c r="C60" s="78"/>
      <c r="D60" s="78"/>
      <c r="E60" s="78"/>
      <c r="F60" s="78"/>
      <c r="G60" s="78"/>
      <c r="H60" s="78"/>
      <c r="I60" s="78"/>
      <c r="J60" s="78"/>
      <c r="K60" s="190" t="s">
        <v>259</v>
      </c>
      <c r="L60" s="20">
        <v>57.0</v>
      </c>
      <c r="M60" s="20">
        <v>27.0</v>
      </c>
      <c r="N60" s="192" t="s">
        <v>286</v>
      </c>
      <c r="O60" s="78"/>
      <c r="P60" s="78"/>
      <c r="Q60" s="78"/>
      <c r="R60" s="78"/>
      <c r="S60" s="78"/>
      <c r="T60" s="78"/>
      <c r="U60" s="78"/>
      <c r="V60" s="78"/>
      <c r="W60" s="78"/>
      <c r="X60" s="78"/>
      <c r="Y60" s="78"/>
      <c r="Z60" s="78"/>
      <c r="AA60" s="78"/>
      <c r="AB60" s="78"/>
      <c r="AE60" s="104"/>
      <c r="AF60" s="104"/>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10"/>
      <c r="BV60" s="78"/>
      <c r="BW60" s="78"/>
      <c r="BX60" s="78"/>
      <c r="BY60" s="78"/>
      <c r="BZ60" s="78"/>
      <c r="CA60" s="78"/>
      <c r="CB60" s="78"/>
      <c r="CC60" s="78"/>
      <c r="CD60" s="78"/>
    </row>
    <row r="61">
      <c r="A61" s="10"/>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E61" s="104"/>
      <c r="AF61" s="104"/>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10"/>
      <c r="BV61" s="78"/>
      <c r="BW61" s="78"/>
      <c r="BX61" s="78"/>
      <c r="BY61" s="78"/>
      <c r="BZ61" s="78"/>
      <c r="CA61" s="78"/>
      <c r="CB61" s="78"/>
      <c r="CC61" s="78"/>
      <c r="CD61" s="78"/>
    </row>
    <row r="62">
      <c r="A62" s="10"/>
      <c r="B62" s="78"/>
      <c r="C62" s="78"/>
      <c r="D62" s="78"/>
      <c r="E62" s="78"/>
      <c r="F62" s="78"/>
      <c r="G62" s="78"/>
      <c r="H62" s="78"/>
      <c r="J62" s="78"/>
      <c r="L62" s="20">
        <f t="shared" ref="L62:M62" si="237">L57-L58</f>
        <v>43</v>
      </c>
      <c r="M62" s="20">
        <f t="shared" si="237"/>
        <v>36</v>
      </c>
      <c r="N62" s="192" t="s">
        <v>10</v>
      </c>
      <c r="O62" s="78"/>
      <c r="P62" s="78"/>
      <c r="Q62" s="78"/>
      <c r="R62" s="78"/>
      <c r="S62" s="78">
        <f>SUM(L62,M62)</f>
        <v>79</v>
      </c>
      <c r="T62" s="78"/>
      <c r="U62" s="78"/>
      <c r="V62" s="78"/>
      <c r="W62" s="78"/>
      <c r="X62" s="78"/>
      <c r="Y62" s="78"/>
      <c r="Z62" s="78"/>
      <c r="AA62" s="78"/>
      <c r="AB62" s="78"/>
      <c r="AE62" s="104"/>
      <c r="AF62" s="104"/>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10"/>
      <c r="BV62" s="78"/>
      <c r="BW62" s="78"/>
      <c r="BX62" s="78"/>
      <c r="BY62" s="78"/>
      <c r="BZ62" s="78"/>
      <c r="CA62" s="78"/>
      <c r="CB62" s="78"/>
      <c r="CC62" s="78"/>
      <c r="CD62" s="78"/>
    </row>
    <row r="63">
      <c r="A63" s="10"/>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E63" s="104"/>
      <c r="AF63" s="104"/>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10"/>
      <c r="BV63" s="78"/>
      <c r="BW63" s="78"/>
      <c r="BX63" s="78"/>
      <c r="BY63" s="78"/>
      <c r="BZ63" s="78"/>
      <c r="CA63" s="78"/>
      <c r="CB63" s="78"/>
      <c r="CC63" s="78"/>
      <c r="CD63" s="78"/>
    </row>
    <row r="64">
      <c r="A64" s="10"/>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E64" s="104"/>
      <c r="AF64" s="104"/>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10"/>
      <c r="BV64" s="78"/>
      <c r="BW64" s="78"/>
      <c r="BX64" s="78"/>
      <c r="BY64" s="78"/>
      <c r="BZ64" s="78"/>
      <c r="CA64" s="78"/>
      <c r="CB64" s="78"/>
      <c r="CC64" s="78"/>
      <c r="CD64" s="78"/>
    </row>
    <row r="65">
      <c r="A65" s="10"/>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E65" s="104"/>
      <c r="AF65" s="104"/>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10"/>
      <c r="BV65" s="78"/>
      <c r="BW65" s="78"/>
      <c r="BX65" s="78"/>
      <c r="BY65" s="78"/>
      <c r="BZ65" s="78"/>
      <c r="CA65" s="78"/>
      <c r="CB65" s="78"/>
      <c r="CC65" s="78"/>
      <c r="CD65" s="78"/>
    </row>
    <row r="66">
      <c r="A66" s="10"/>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E66" s="104"/>
      <c r="AF66" s="104"/>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10"/>
      <c r="BV66" s="78"/>
      <c r="BW66" s="78"/>
      <c r="BX66" s="78"/>
      <c r="BY66" s="78"/>
      <c r="BZ66" s="78"/>
      <c r="CA66" s="78"/>
      <c r="CB66" s="78"/>
      <c r="CC66" s="78"/>
      <c r="CD66" s="78"/>
    </row>
    <row r="67">
      <c r="A67" s="10"/>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E67" s="104"/>
      <c r="AF67" s="104"/>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10"/>
      <c r="BV67" s="78"/>
      <c r="BW67" s="78"/>
      <c r="BX67" s="78"/>
      <c r="BY67" s="78"/>
      <c r="BZ67" s="78"/>
      <c r="CA67" s="78"/>
      <c r="CB67" s="78"/>
      <c r="CC67" s="78"/>
      <c r="CD67" s="78"/>
    </row>
    <row r="68">
      <c r="A68" s="10"/>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E68" s="104"/>
      <c r="AF68" s="104"/>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10"/>
      <c r="BV68" s="78"/>
      <c r="BW68" s="78"/>
      <c r="BX68" s="78"/>
      <c r="BY68" s="78"/>
      <c r="BZ68" s="78"/>
      <c r="CA68" s="78"/>
      <c r="CB68" s="78"/>
      <c r="CC68" s="78"/>
      <c r="CD68" s="78"/>
    </row>
    <row r="69">
      <c r="A69" s="10"/>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E69" s="104"/>
      <c r="AF69" s="104"/>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10"/>
      <c r="BV69" s="78"/>
      <c r="BW69" s="78"/>
      <c r="BX69" s="78"/>
      <c r="BY69" s="78"/>
      <c r="BZ69" s="78"/>
      <c r="CA69" s="78"/>
      <c r="CB69" s="78"/>
      <c r="CC69" s="78"/>
      <c r="CD69" s="78"/>
    </row>
    <row r="70">
      <c r="A70" s="10"/>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E70" s="104"/>
      <c r="AF70" s="104"/>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10"/>
      <c r="BV70" s="78"/>
      <c r="BW70" s="78"/>
      <c r="BX70" s="78"/>
      <c r="BY70" s="78"/>
      <c r="BZ70" s="78"/>
      <c r="CA70" s="78"/>
      <c r="CB70" s="78"/>
      <c r="CC70" s="78"/>
      <c r="CD70" s="78"/>
    </row>
    <row r="71">
      <c r="A71" s="10"/>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E71" s="104"/>
      <c r="AF71" s="104"/>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10"/>
      <c r="BV71" s="78"/>
      <c r="BW71" s="78"/>
      <c r="BX71" s="78"/>
      <c r="BY71" s="78"/>
      <c r="BZ71" s="78"/>
      <c r="CA71" s="78"/>
      <c r="CB71" s="78"/>
      <c r="CC71" s="78"/>
      <c r="CD71" s="78"/>
    </row>
    <row r="72">
      <c r="A72" s="10"/>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D72" s="104"/>
      <c r="AE72" s="104"/>
      <c r="AF72" s="104"/>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10"/>
      <c r="BV72" s="78"/>
      <c r="BW72" s="78"/>
      <c r="BX72" s="78"/>
      <c r="BY72" s="78"/>
      <c r="BZ72" s="78"/>
      <c r="CA72" s="78"/>
      <c r="CB72" s="78"/>
      <c r="CC72" s="78"/>
      <c r="CD72" s="78"/>
    </row>
    <row r="73">
      <c r="A73" s="10"/>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D73" s="104"/>
      <c r="AE73" s="104"/>
      <c r="AF73" s="104"/>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10"/>
      <c r="BV73" s="78"/>
      <c r="BW73" s="78"/>
      <c r="BX73" s="78"/>
      <c r="BY73" s="78"/>
      <c r="BZ73" s="78"/>
      <c r="CA73" s="78"/>
      <c r="CB73" s="78"/>
      <c r="CC73" s="78"/>
      <c r="CD73" s="78"/>
    </row>
    <row r="74">
      <c r="A74" s="10"/>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D74" s="104"/>
      <c r="AE74" s="104"/>
      <c r="AF74" s="104"/>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10"/>
      <c r="BV74" s="78"/>
      <c r="BW74" s="78"/>
      <c r="BX74" s="78"/>
      <c r="BY74" s="78"/>
      <c r="BZ74" s="78"/>
      <c r="CA74" s="78"/>
      <c r="CB74" s="78"/>
      <c r="CC74" s="78"/>
      <c r="CD74" s="78"/>
    </row>
    <row r="75">
      <c r="A75" s="10"/>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10"/>
      <c r="BV75" s="78"/>
      <c r="BW75" s="78"/>
      <c r="BX75" s="78"/>
      <c r="BY75" s="78"/>
      <c r="BZ75" s="78"/>
      <c r="CA75" s="78"/>
      <c r="CB75" s="78"/>
      <c r="CC75" s="78"/>
      <c r="CD75" s="78"/>
    </row>
    <row r="76">
      <c r="A76" s="10"/>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10"/>
      <c r="BV76" s="78"/>
      <c r="BW76" s="78"/>
      <c r="BX76" s="78"/>
      <c r="BY76" s="78"/>
      <c r="BZ76" s="78"/>
      <c r="CA76" s="78"/>
      <c r="CB76" s="78"/>
      <c r="CC76" s="78"/>
      <c r="CD76" s="78"/>
    </row>
    <row r="77">
      <c r="A77" s="10"/>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10"/>
      <c r="BV77" s="78"/>
      <c r="BW77" s="78"/>
      <c r="BX77" s="78"/>
      <c r="BY77" s="78"/>
      <c r="BZ77" s="78"/>
      <c r="CA77" s="78"/>
      <c r="CB77" s="78"/>
      <c r="CC77" s="78"/>
      <c r="CD77" s="78"/>
    </row>
    <row r="78">
      <c r="A78" s="10"/>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10"/>
      <c r="BV78" s="78"/>
      <c r="BW78" s="78"/>
      <c r="BX78" s="78"/>
      <c r="BY78" s="78"/>
      <c r="BZ78" s="78"/>
      <c r="CA78" s="78"/>
      <c r="CB78" s="78"/>
      <c r="CC78" s="78"/>
      <c r="CD78" s="78"/>
    </row>
    <row r="79">
      <c r="A79" s="10"/>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10"/>
      <c r="BV79" s="78"/>
      <c r="BW79" s="78"/>
      <c r="BX79" s="78"/>
      <c r="BY79" s="78"/>
      <c r="BZ79" s="78"/>
      <c r="CA79" s="78"/>
      <c r="CB79" s="78"/>
      <c r="CC79" s="78"/>
      <c r="CD79" s="78"/>
    </row>
    <row r="80">
      <c r="A80" s="10"/>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10"/>
      <c r="BV80" s="78"/>
      <c r="BW80" s="78"/>
      <c r="BX80" s="78"/>
      <c r="BY80" s="78"/>
      <c r="BZ80" s="78"/>
      <c r="CA80" s="78"/>
      <c r="CB80" s="78"/>
      <c r="CC80" s="78"/>
      <c r="CD80" s="78"/>
    </row>
    <row r="81">
      <c r="A81" s="10"/>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10"/>
      <c r="BV81" s="78"/>
      <c r="BW81" s="78"/>
      <c r="BX81" s="78"/>
      <c r="BY81" s="78"/>
      <c r="BZ81" s="78"/>
      <c r="CA81" s="78"/>
      <c r="CB81" s="78"/>
      <c r="CC81" s="78"/>
      <c r="CD81" s="78"/>
    </row>
    <row r="82">
      <c r="A82" s="10"/>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10"/>
      <c r="BV82" s="78"/>
      <c r="BW82" s="78"/>
      <c r="BX82" s="78"/>
      <c r="BY82" s="78"/>
      <c r="BZ82" s="78"/>
      <c r="CA82" s="78"/>
      <c r="CB82" s="78"/>
      <c r="CC82" s="78"/>
      <c r="CD82" s="78"/>
    </row>
    <row r="83">
      <c r="A83" s="10"/>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10"/>
      <c r="BV83" s="78"/>
      <c r="BW83" s="78"/>
      <c r="BX83" s="78"/>
      <c r="BY83" s="78"/>
      <c r="BZ83" s="78"/>
      <c r="CA83" s="78"/>
      <c r="CB83" s="78"/>
      <c r="CC83" s="78"/>
      <c r="CD83" s="78"/>
    </row>
    <row r="84">
      <c r="A84" s="10"/>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10"/>
      <c r="BV84" s="78"/>
      <c r="BW84" s="78"/>
      <c r="BX84" s="78"/>
      <c r="BY84" s="78"/>
      <c r="BZ84" s="78"/>
      <c r="CA84" s="78"/>
      <c r="CB84" s="78"/>
      <c r="CC84" s="78"/>
      <c r="CD84" s="78"/>
    </row>
    <row r="85">
      <c r="A85" s="10"/>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10"/>
      <c r="BV85" s="78"/>
      <c r="BW85" s="78"/>
      <c r="BX85" s="78"/>
      <c r="BY85" s="78"/>
      <c r="BZ85" s="78"/>
      <c r="CA85" s="78"/>
      <c r="CB85" s="78"/>
      <c r="CC85" s="78"/>
      <c r="CD85" s="78"/>
    </row>
    <row r="86">
      <c r="A86" s="10"/>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10"/>
      <c r="BV86" s="78"/>
      <c r="BW86" s="78"/>
      <c r="BX86" s="78"/>
      <c r="BY86" s="78"/>
      <c r="BZ86" s="78"/>
      <c r="CA86" s="78"/>
      <c r="CB86" s="78"/>
      <c r="CC86" s="78"/>
      <c r="CD86" s="78"/>
    </row>
    <row r="87">
      <c r="A87" s="10"/>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10"/>
      <c r="BV87" s="78"/>
      <c r="BW87" s="78"/>
      <c r="BX87" s="78"/>
      <c r="BY87" s="78"/>
      <c r="BZ87" s="78"/>
      <c r="CA87" s="78"/>
      <c r="CB87" s="78"/>
      <c r="CC87" s="78"/>
      <c r="CD87" s="78"/>
    </row>
    <row r="88">
      <c r="A88" s="10"/>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10"/>
      <c r="BV88" s="78"/>
      <c r="BW88" s="78"/>
      <c r="BX88" s="78"/>
      <c r="BY88" s="78"/>
      <c r="BZ88" s="78"/>
      <c r="CA88" s="78"/>
      <c r="CB88" s="78"/>
      <c r="CC88" s="78"/>
      <c r="CD88" s="78"/>
    </row>
    <row r="89">
      <c r="A89" s="10"/>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10"/>
      <c r="BV89" s="78"/>
      <c r="BW89" s="78"/>
      <c r="BX89" s="78"/>
      <c r="BY89" s="78"/>
      <c r="BZ89" s="78"/>
      <c r="CA89" s="78"/>
      <c r="CB89" s="78"/>
      <c r="CC89" s="78"/>
      <c r="CD89" s="78"/>
    </row>
    <row r="90">
      <c r="A90" s="10"/>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10"/>
      <c r="BV90" s="78"/>
      <c r="BW90" s="78"/>
      <c r="BX90" s="78"/>
      <c r="BY90" s="78"/>
      <c r="BZ90" s="78"/>
      <c r="CA90" s="78"/>
      <c r="CB90" s="78"/>
      <c r="CC90" s="78"/>
      <c r="CD90" s="78"/>
    </row>
    <row r="91">
      <c r="A91" s="10"/>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10"/>
      <c r="BV91" s="78"/>
      <c r="BW91" s="78"/>
      <c r="BX91" s="78"/>
      <c r="BY91" s="78"/>
      <c r="BZ91" s="78"/>
      <c r="CA91" s="78"/>
      <c r="CB91" s="78"/>
      <c r="CC91" s="78"/>
      <c r="CD91" s="78"/>
    </row>
    <row r="92">
      <c r="A92" s="10"/>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10"/>
      <c r="BV92" s="78"/>
      <c r="BW92" s="78"/>
      <c r="BX92" s="78"/>
      <c r="BY92" s="78"/>
      <c r="BZ92" s="78"/>
      <c r="CA92" s="78"/>
      <c r="CB92" s="78"/>
      <c r="CC92" s="78"/>
      <c r="CD92" s="78"/>
    </row>
    <row r="93">
      <c r="A93" s="10"/>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10"/>
      <c r="BV93" s="78"/>
      <c r="BW93" s="78"/>
      <c r="BX93" s="78"/>
      <c r="BY93" s="78"/>
      <c r="BZ93" s="78"/>
      <c r="CA93" s="78"/>
      <c r="CB93" s="78"/>
      <c r="CC93" s="78"/>
      <c r="CD93" s="78"/>
    </row>
    <row r="94">
      <c r="A94" s="10"/>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10"/>
      <c r="BV94" s="78"/>
      <c r="BW94" s="78"/>
      <c r="BX94" s="78"/>
      <c r="BY94" s="78"/>
      <c r="BZ94" s="78"/>
      <c r="CA94" s="78"/>
      <c r="CB94" s="78"/>
      <c r="CC94" s="78"/>
      <c r="CD94" s="78"/>
    </row>
    <row r="95">
      <c r="A95" s="10"/>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10"/>
      <c r="BV95" s="78"/>
      <c r="BW95" s="78"/>
      <c r="BX95" s="78"/>
      <c r="BY95" s="78"/>
      <c r="BZ95" s="78"/>
      <c r="CA95" s="78"/>
      <c r="CB95" s="78"/>
      <c r="CC95" s="78"/>
      <c r="CD95" s="78"/>
    </row>
    <row r="96">
      <c r="A96" s="10"/>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10"/>
      <c r="BV96" s="78"/>
      <c r="BW96" s="78"/>
      <c r="BX96" s="78"/>
      <c r="BY96" s="78"/>
      <c r="BZ96" s="78"/>
      <c r="CA96" s="78"/>
      <c r="CB96" s="78"/>
      <c r="CC96" s="78"/>
      <c r="CD96" s="78"/>
    </row>
    <row r="97">
      <c r="A97" s="10"/>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10"/>
      <c r="BV97" s="78"/>
      <c r="BW97" s="78"/>
      <c r="BX97" s="78"/>
      <c r="BY97" s="78"/>
      <c r="BZ97" s="78"/>
      <c r="CA97" s="78"/>
      <c r="CB97" s="78"/>
      <c r="CC97" s="78"/>
      <c r="CD97" s="78"/>
    </row>
    <row r="98">
      <c r="A98" s="10"/>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10"/>
      <c r="BV98" s="78"/>
      <c r="BW98" s="78"/>
      <c r="BX98" s="78"/>
      <c r="BY98" s="78"/>
      <c r="BZ98" s="78"/>
      <c r="CA98" s="78"/>
      <c r="CB98" s="78"/>
      <c r="CC98" s="78"/>
      <c r="CD98" s="78"/>
    </row>
    <row r="99">
      <c r="A99" s="10"/>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10"/>
      <c r="BV99" s="78"/>
      <c r="BW99" s="78"/>
      <c r="BX99" s="78"/>
      <c r="BY99" s="78"/>
      <c r="BZ99" s="78"/>
      <c r="CA99" s="78"/>
      <c r="CB99" s="78"/>
      <c r="CC99" s="78"/>
      <c r="CD99" s="78"/>
    </row>
    <row r="100">
      <c r="A100" s="10"/>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10"/>
      <c r="BV100" s="78"/>
      <c r="BW100" s="78"/>
      <c r="BX100" s="78"/>
      <c r="BY100" s="78"/>
      <c r="BZ100" s="78"/>
      <c r="CA100" s="78"/>
      <c r="CB100" s="78"/>
      <c r="CC100" s="78"/>
      <c r="CD100" s="78"/>
    </row>
    <row r="101">
      <c r="A101" s="10"/>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10"/>
      <c r="BV101" s="78"/>
      <c r="BW101" s="78"/>
      <c r="BX101" s="78"/>
      <c r="BY101" s="78"/>
      <c r="BZ101" s="78"/>
      <c r="CA101" s="78"/>
      <c r="CB101" s="78"/>
      <c r="CC101" s="78"/>
      <c r="CD101" s="78"/>
    </row>
    <row r="102">
      <c r="A102" s="10"/>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10"/>
      <c r="BV102" s="78"/>
      <c r="BW102" s="78"/>
      <c r="BX102" s="78"/>
      <c r="BY102" s="78"/>
      <c r="BZ102" s="78"/>
      <c r="CA102" s="78"/>
      <c r="CB102" s="78"/>
      <c r="CC102" s="78"/>
      <c r="CD102" s="78"/>
    </row>
    <row r="103">
      <c r="A103" s="10"/>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10"/>
      <c r="BV103" s="78"/>
      <c r="BW103" s="78"/>
      <c r="BX103" s="78"/>
      <c r="BY103" s="78"/>
      <c r="BZ103" s="78"/>
      <c r="CA103" s="78"/>
      <c r="CB103" s="78"/>
      <c r="CC103" s="78"/>
      <c r="CD103" s="78"/>
    </row>
    <row r="104">
      <c r="A104" s="10"/>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10"/>
      <c r="BV104" s="78"/>
      <c r="BW104" s="78"/>
      <c r="BX104" s="78"/>
      <c r="BY104" s="78"/>
      <c r="BZ104" s="78"/>
      <c r="CA104" s="78"/>
      <c r="CB104" s="78"/>
      <c r="CC104" s="78"/>
      <c r="CD104" s="78"/>
    </row>
    <row r="105">
      <c r="A105" s="10"/>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10"/>
      <c r="BV105" s="78"/>
      <c r="BW105" s="78"/>
      <c r="BX105" s="78"/>
      <c r="BY105" s="78"/>
      <c r="BZ105" s="78"/>
      <c r="CA105" s="78"/>
      <c r="CB105" s="78"/>
      <c r="CC105" s="78"/>
      <c r="CD105" s="78"/>
    </row>
    <row r="106">
      <c r="A106" s="10"/>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10"/>
      <c r="BV106" s="78"/>
      <c r="BW106" s="78"/>
      <c r="BX106" s="78"/>
      <c r="BY106" s="78"/>
      <c r="BZ106" s="78"/>
      <c r="CA106" s="78"/>
      <c r="CB106" s="78"/>
      <c r="CC106" s="78"/>
      <c r="CD106" s="78"/>
    </row>
    <row r="107">
      <c r="A107" s="10"/>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10"/>
      <c r="BV107" s="78"/>
      <c r="BW107" s="78"/>
      <c r="BX107" s="78"/>
      <c r="BY107" s="78"/>
      <c r="BZ107" s="78"/>
      <c r="CA107" s="78"/>
      <c r="CB107" s="78"/>
      <c r="CC107" s="78"/>
      <c r="CD107" s="78"/>
    </row>
    <row r="108">
      <c r="A108" s="10"/>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10"/>
      <c r="BV108" s="78"/>
      <c r="BW108" s="78"/>
      <c r="BX108" s="78"/>
      <c r="BY108" s="78"/>
      <c r="BZ108" s="78"/>
      <c r="CA108" s="78"/>
      <c r="CB108" s="78"/>
      <c r="CC108" s="78"/>
      <c r="CD108" s="78"/>
    </row>
    <row r="109">
      <c r="A109" s="10"/>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10"/>
      <c r="BV109" s="78"/>
      <c r="BW109" s="78"/>
      <c r="BX109" s="78"/>
      <c r="BY109" s="78"/>
      <c r="BZ109" s="78"/>
      <c r="CA109" s="78"/>
      <c r="CB109" s="78"/>
      <c r="CC109" s="78"/>
      <c r="CD109" s="78"/>
    </row>
    <row r="110">
      <c r="A110" s="10"/>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10"/>
      <c r="BV110" s="78"/>
      <c r="BW110" s="78"/>
      <c r="BX110" s="78"/>
      <c r="BY110" s="78"/>
      <c r="BZ110" s="78"/>
      <c r="CA110" s="78"/>
      <c r="CB110" s="78"/>
      <c r="CC110" s="78"/>
      <c r="CD110" s="78"/>
    </row>
    <row r="111">
      <c r="A111" s="10"/>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10"/>
      <c r="BV111" s="78"/>
      <c r="BW111" s="78"/>
      <c r="BX111" s="78"/>
      <c r="BY111" s="78"/>
      <c r="BZ111" s="78"/>
      <c r="CA111" s="78"/>
      <c r="CB111" s="78"/>
      <c r="CC111" s="78"/>
      <c r="CD111" s="78"/>
    </row>
    <row r="112">
      <c r="A112" s="10"/>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10"/>
      <c r="BV112" s="78"/>
      <c r="BW112" s="78"/>
      <c r="BX112" s="78"/>
      <c r="BY112" s="78"/>
      <c r="BZ112" s="78"/>
      <c r="CA112" s="78"/>
      <c r="CB112" s="78"/>
      <c r="CC112" s="78"/>
      <c r="CD112" s="78"/>
    </row>
    <row r="113">
      <c r="A113" s="10"/>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10"/>
      <c r="BV113" s="78"/>
      <c r="BW113" s="78"/>
      <c r="BX113" s="78"/>
      <c r="BY113" s="78"/>
      <c r="BZ113" s="78"/>
      <c r="CA113" s="78"/>
      <c r="CB113" s="78"/>
      <c r="CC113" s="78"/>
      <c r="CD113" s="78"/>
    </row>
    <row r="114">
      <c r="A114" s="10"/>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10"/>
      <c r="BV114" s="78"/>
      <c r="BW114" s="78"/>
      <c r="BX114" s="78"/>
      <c r="BY114" s="78"/>
      <c r="BZ114" s="78"/>
      <c r="CA114" s="78"/>
      <c r="CB114" s="78"/>
      <c r="CC114" s="78"/>
      <c r="CD114" s="78"/>
    </row>
    <row r="115">
      <c r="A115" s="10"/>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10"/>
      <c r="BV115" s="78"/>
      <c r="BW115" s="78"/>
      <c r="BX115" s="78"/>
      <c r="BY115" s="78"/>
      <c r="BZ115" s="78"/>
      <c r="CA115" s="78"/>
      <c r="CB115" s="78"/>
      <c r="CC115" s="78"/>
      <c r="CD115" s="78"/>
    </row>
    <row r="116">
      <c r="A116" s="10"/>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10"/>
      <c r="BV116" s="78"/>
      <c r="BW116" s="78"/>
      <c r="BX116" s="78"/>
      <c r="BY116" s="78"/>
      <c r="BZ116" s="78"/>
      <c r="CA116" s="78"/>
      <c r="CB116" s="78"/>
      <c r="CC116" s="78"/>
      <c r="CD116" s="78"/>
    </row>
    <row r="117">
      <c r="A117" s="10"/>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10"/>
      <c r="BV117" s="78"/>
      <c r="BW117" s="78"/>
      <c r="BX117" s="78"/>
      <c r="BY117" s="78"/>
      <c r="BZ117" s="78"/>
      <c r="CA117" s="78"/>
      <c r="CB117" s="78"/>
      <c r="CC117" s="78"/>
      <c r="CD117" s="78"/>
    </row>
    <row r="118">
      <c r="A118" s="10"/>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10"/>
      <c r="BV118" s="78"/>
      <c r="BW118" s="78"/>
      <c r="BX118" s="78"/>
      <c r="BY118" s="78"/>
      <c r="BZ118" s="78"/>
      <c r="CA118" s="78"/>
      <c r="CB118" s="78"/>
      <c r="CC118" s="78"/>
      <c r="CD118" s="78"/>
    </row>
    <row r="119">
      <c r="A119" s="10"/>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10"/>
      <c r="BV119" s="78"/>
      <c r="BW119" s="78"/>
      <c r="BX119" s="78"/>
      <c r="BY119" s="78"/>
      <c r="BZ119" s="78"/>
      <c r="CA119" s="78"/>
      <c r="CB119" s="78"/>
      <c r="CC119" s="78"/>
      <c r="CD119" s="78"/>
    </row>
    <row r="120">
      <c r="A120" s="10"/>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10"/>
      <c r="BV120" s="78"/>
      <c r="BW120" s="78"/>
      <c r="BX120" s="78"/>
      <c r="BY120" s="78"/>
      <c r="BZ120" s="78"/>
      <c r="CA120" s="78"/>
      <c r="CB120" s="78"/>
      <c r="CC120" s="78"/>
      <c r="CD120" s="78"/>
    </row>
    <row r="121">
      <c r="A121" s="10"/>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10"/>
      <c r="BV121" s="78"/>
      <c r="BW121" s="78"/>
      <c r="BX121" s="78"/>
      <c r="BY121" s="78"/>
      <c r="BZ121" s="78"/>
      <c r="CA121" s="78"/>
      <c r="CB121" s="78"/>
      <c r="CC121" s="78"/>
      <c r="CD121" s="78"/>
    </row>
    <row r="122">
      <c r="A122" s="10"/>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10"/>
      <c r="BV122" s="78"/>
      <c r="BW122" s="78"/>
      <c r="BX122" s="78"/>
      <c r="BY122" s="78"/>
      <c r="BZ122" s="78"/>
      <c r="CA122" s="78"/>
      <c r="CB122" s="78"/>
      <c r="CC122" s="78"/>
      <c r="CD122" s="78"/>
    </row>
    <row r="123">
      <c r="A123" s="10"/>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10"/>
      <c r="BV123" s="78"/>
      <c r="BW123" s="78"/>
      <c r="BX123" s="78"/>
      <c r="BY123" s="78"/>
      <c r="BZ123" s="78"/>
      <c r="CA123" s="78"/>
      <c r="CB123" s="78"/>
      <c r="CC123" s="78"/>
      <c r="CD123" s="78"/>
    </row>
    <row r="124">
      <c r="A124" s="10"/>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10"/>
      <c r="BV124" s="78"/>
      <c r="BW124" s="78"/>
      <c r="BX124" s="78"/>
      <c r="BY124" s="78"/>
      <c r="BZ124" s="78"/>
      <c r="CA124" s="78"/>
      <c r="CB124" s="78"/>
      <c r="CC124" s="78"/>
      <c r="CD124" s="78"/>
    </row>
    <row r="125">
      <c r="A125" s="10"/>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10"/>
      <c r="BV125" s="78"/>
      <c r="BW125" s="78"/>
      <c r="BX125" s="78"/>
      <c r="BY125" s="78"/>
      <c r="BZ125" s="78"/>
      <c r="CA125" s="78"/>
      <c r="CB125" s="78"/>
      <c r="CC125" s="78"/>
      <c r="CD125" s="78"/>
    </row>
    <row r="126">
      <c r="A126" s="10"/>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10"/>
      <c r="BV126" s="78"/>
      <c r="BW126" s="78"/>
      <c r="BX126" s="78"/>
      <c r="BY126" s="78"/>
      <c r="BZ126" s="78"/>
      <c r="CA126" s="78"/>
      <c r="CB126" s="78"/>
      <c r="CC126" s="78"/>
      <c r="CD126" s="78"/>
    </row>
    <row r="127">
      <c r="A127" s="10"/>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10"/>
      <c r="BV127" s="78"/>
      <c r="BW127" s="78"/>
      <c r="BX127" s="78"/>
      <c r="BY127" s="78"/>
      <c r="BZ127" s="78"/>
      <c r="CA127" s="78"/>
      <c r="CB127" s="78"/>
      <c r="CC127" s="78"/>
      <c r="CD127" s="78"/>
    </row>
    <row r="128">
      <c r="A128" s="10"/>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10"/>
      <c r="BV128" s="78"/>
      <c r="BW128" s="78"/>
      <c r="BX128" s="78"/>
      <c r="BY128" s="78"/>
      <c r="BZ128" s="78"/>
      <c r="CA128" s="78"/>
      <c r="CB128" s="78"/>
      <c r="CC128" s="78"/>
      <c r="CD128" s="78"/>
    </row>
    <row r="129">
      <c r="A129" s="10"/>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10"/>
      <c r="BV129" s="78"/>
      <c r="BW129" s="78"/>
      <c r="BX129" s="78"/>
      <c r="BY129" s="78"/>
      <c r="BZ129" s="78"/>
      <c r="CA129" s="78"/>
      <c r="CB129" s="78"/>
      <c r="CC129" s="78"/>
      <c r="CD129" s="78"/>
    </row>
    <row r="130">
      <c r="A130" s="10"/>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10"/>
      <c r="BV130" s="78"/>
      <c r="BW130" s="78"/>
      <c r="BX130" s="78"/>
      <c r="BY130" s="78"/>
      <c r="BZ130" s="78"/>
      <c r="CA130" s="78"/>
      <c r="CB130" s="78"/>
      <c r="CC130" s="78"/>
      <c r="CD130" s="78"/>
    </row>
    <row r="131">
      <c r="A131" s="10"/>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10"/>
      <c r="BV131" s="78"/>
      <c r="BW131" s="78"/>
      <c r="BX131" s="78"/>
      <c r="BY131" s="78"/>
      <c r="BZ131" s="78"/>
      <c r="CA131" s="78"/>
      <c r="CB131" s="78"/>
      <c r="CC131" s="78"/>
      <c r="CD131" s="78"/>
    </row>
    <row r="132">
      <c r="A132" s="10"/>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10"/>
      <c r="BV132" s="78"/>
      <c r="BW132" s="78"/>
      <c r="BX132" s="78"/>
      <c r="BY132" s="78"/>
      <c r="BZ132" s="78"/>
      <c r="CA132" s="78"/>
      <c r="CB132" s="78"/>
      <c r="CC132" s="78"/>
      <c r="CD132" s="78"/>
    </row>
    <row r="133">
      <c r="A133" s="10"/>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10"/>
      <c r="BV133" s="78"/>
      <c r="BW133" s="78"/>
      <c r="BX133" s="78"/>
      <c r="BY133" s="78"/>
      <c r="BZ133" s="78"/>
      <c r="CA133" s="78"/>
      <c r="CB133" s="78"/>
      <c r="CC133" s="78"/>
      <c r="CD133" s="78"/>
    </row>
    <row r="134">
      <c r="A134" s="10"/>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10"/>
      <c r="BV134" s="78"/>
      <c r="BW134" s="78"/>
      <c r="BX134" s="78"/>
      <c r="BY134" s="78"/>
      <c r="BZ134" s="78"/>
      <c r="CA134" s="78"/>
      <c r="CB134" s="78"/>
      <c r="CC134" s="78"/>
      <c r="CD134" s="78"/>
    </row>
    <row r="135">
      <c r="A135" s="10"/>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10"/>
      <c r="BV135" s="78"/>
      <c r="BW135" s="78"/>
      <c r="BX135" s="78"/>
      <c r="BY135" s="78"/>
      <c r="BZ135" s="78"/>
      <c r="CA135" s="78"/>
      <c r="CB135" s="78"/>
      <c r="CC135" s="78"/>
      <c r="CD135" s="78"/>
    </row>
    <row r="136">
      <c r="A136" s="10"/>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10"/>
      <c r="BV136" s="78"/>
      <c r="BW136" s="78"/>
      <c r="BX136" s="78"/>
      <c r="BY136" s="78"/>
      <c r="BZ136" s="78"/>
      <c r="CA136" s="78"/>
      <c r="CB136" s="78"/>
      <c r="CC136" s="78"/>
      <c r="CD136" s="78"/>
    </row>
    <row r="137">
      <c r="A137" s="10"/>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10"/>
      <c r="BV137" s="78"/>
      <c r="BW137" s="78"/>
      <c r="BX137" s="78"/>
      <c r="BY137" s="78"/>
      <c r="BZ137" s="78"/>
      <c r="CA137" s="78"/>
      <c r="CB137" s="78"/>
      <c r="CC137" s="78"/>
      <c r="CD137" s="78"/>
    </row>
    <row r="138">
      <c r="A138" s="10"/>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10"/>
      <c r="BV138" s="78"/>
      <c r="BW138" s="78"/>
      <c r="BX138" s="78"/>
      <c r="BY138" s="78"/>
      <c r="BZ138" s="78"/>
      <c r="CA138" s="78"/>
      <c r="CB138" s="78"/>
      <c r="CC138" s="78"/>
      <c r="CD138" s="78"/>
    </row>
    <row r="139">
      <c r="A139" s="10"/>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10"/>
      <c r="BV139" s="78"/>
      <c r="BW139" s="78"/>
      <c r="BX139" s="78"/>
      <c r="BY139" s="78"/>
      <c r="BZ139" s="78"/>
      <c r="CA139" s="78"/>
      <c r="CB139" s="78"/>
      <c r="CC139" s="78"/>
      <c r="CD139" s="78"/>
    </row>
    <row r="140">
      <c r="A140" s="10"/>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10"/>
      <c r="BV140" s="78"/>
      <c r="BW140" s="78"/>
      <c r="BX140" s="78"/>
      <c r="BY140" s="78"/>
      <c r="BZ140" s="78"/>
      <c r="CA140" s="78"/>
      <c r="CB140" s="78"/>
      <c r="CC140" s="78"/>
      <c r="CD140" s="78"/>
    </row>
    <row r="141">
      <c r="A141" s="10"/>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10"/>
      <c r="BV141" s="78"/>
      <c r="BW141" s="78"/>
      <c r="BX141" s="78"/>
      <c r="BY141" s="78"/>
      <c r="BZ141" s="78"/>
      <c r="CA141" s="78"/>
      <c r="CB141" s="78"/>
      <c r="CC141" s="78"/>
      <c r="CD141" s="78"/>
    </row>
    <row r="142">
      <c r="A142" s="10"/>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10"/>
      <c r="BV142" s="78"/>
      <c r="BW142" s="78"/>
      <c r="BX142" s="78"/>
      <c r="BY142" s="78"/>
      <c r="BZ142" s="78"/>
      <c r="CA142" s="78"/>
      <c r="CB142" s="78"/>
      <c r="CC142" s="78"/>
      <c r="CD142" s="78"/>
    </row>
    <row r="143">
      <c r="A143" s="10"/>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10"/>
      <c r="BV143" s="78"/>
      <c r="BW143" s="78"/>
      <c r="BX143" s="78"/>
      <c r="BY143" s="78"/>
      <c r="BZ143" s="78"/>
      <c r="CA143" s="78"/>
      <c r="CB143" s="78"/>
      <c r="CC143" s="78"/>
      <c r="CD143" s="78"/>
    </row>
    <row r="144">
      <c r="A144" s="10"/>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10"/>
      <c r="BV144" s="78"/>
      <c r="BW144" s="78"/>
      <c r="BX144" s="78"/>
      <c r="BY144" s="78"/>
      <c r="BZ144" s="78"/>
      <c r="CA144" s="78"/>
      <c r="CB144" s="78"/>
      <c r="CC144" s="78"/>
      <c r="CD144" s="78"/>
    </row>
    <row r="145">
      <c r="A145" s="10"/>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10"/>
      <c r="BV145" s="78"/>
      <c r="BW145" s="78"/>
      <c r="BX145" s="78"/>
      <c r="BY145" s="78"/>
      <c r="BZ145" s="78"/>
      <c r="CA145" s="78"/>
      <c r="CB145" s="78"/>
      <c r="CC145" s="78"/>
      <c r="CD145" s="78"/>
    </row>
    <row r="146">
      <c r="A146" s="10"/>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10"/>
      <c r="BV146" s="78"/>
      <c r="BW146" s="78"/>
      <c r="BX146" s="78"/>
      <c r="BY146" s="78"/>
      <c r="BZ146" s="78"/>
      <c r="CA146" s="78"/>
      <c r="CB146" s="78"/>
      <c r="CC146" s="78"/>
      <c r="CD146" s="78"/>
    </row>
    <row r="147">
      <c r="A147" s="10"/>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10"/>
      <c r="BV147" s="78"/>
      <c r="BW147" s="78"/>
      <c r="BX147" s="78"/>
      <c r="BY147" s="78"/>
      <c r="BZ147" s="78"/>
      <c r="CA147" s="78"/>
      <c r="CB147" s="78"/>
      <c r="CC147" s="78"/>
      <c r="CD147" s="78"/>
    </row>
    <row r="148">
      <c r="A148" s="10"/>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10"/>
      <c r="BV148" s="78"/>
      <c r="BW148" s="78"/>
      <c r="BX148" s="78"/>
      <c r="BY148" s="78"/>
      <c r="BZ148" s="78"/>
      <c r="CA148" s="78"/>
      <c r="CB148" s="78"/>
      <c r="CC148" s="78"/>
      <c r="CD148" s="78"/>
    </row>
    <row r="149">
      <c r="A149" s="10"/>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10"/>
      <c r="BV149" s="78"/>
      <c r="BW149" s="78"/>
      <c r="BX149" s="78"/>
      <c r="BY149" s="78"/>
      <c r="BZ149" s="78"/>
      <c r="CA149" s="78"/>
      <c r="CB149" s="78"/>
      <c r="CC149" s="78"/>
      <c r="CD149" s="78"/>
    </row>
    <row r="150">
      <c r="A150" s="10"/>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10"/>
      <c r="BV150" s="78"/>
      <c r="BW150" s="78"/>
      <c r="BX150" s="78"/>
      <c r="BY150" s="78"/>
      <c r="BZ150" s="78"/>
      <c r="CA150" s="78"/>
      <c r="CB150" s="78"/>
      <c r="CC150" s="78"/>
      <c r="CD150" s="78"/>
    </row>
    <row r="151">
      <c r="A151" s="10"/>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10"/>
      <c r="BV151" s="78"/>
      <c r="BW151" s="78"/>
      <c r="BX151" s="78"/>
      <c r="BY151" s="78"/>
      <c r="BZ151" s="78"/>
      <c r="CA151" s="78"/>
      <c r="CB151" s="78"/>
      <c r="CC151" s="78"/>
      <c r="CD151" s="78"/>
    </row>
    <row r="152">
      <c r="A152" s="10"/>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10"/>
      <c r="BV152" s="78"/>
      <c r="BW152" s="78"/>
      <c r="BX152" s="78"/>
      <c r="BY152" s="78"/>
      <c r="BZ152" s="78"/>
      <c r="CA152" s="78"/>
      <c r="CB152" s="78"/>
      <c r="CC152" s="78"/>
      <c r="CD152" s="78"/>
    </row>
    <row r="153">
      <c r="A153" s="10"/>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10"/>
      <c r="BV153" s="78"/>
      <c r="BW153" s="78"/>
      <c r="BX153" s="78"/>
      <c r="BY153" s="78"/>
      <c r="BZ153" s="78"/>
      <c r="CA153" s="78"/>
      <c r="CB153" s="78"/>
      <c r="CC153" s="78"/>
      <c r="CD153" s="78"/>
    </row>
    <row r="154">
      <c r="A154" s="10"/>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10"/>
      <c r="BV154" s="78"/>
      <c r="BW154" s="78"/>
      <c r="BX154" s="78"/>
      <c r="BY154" s="78"/>
      <c r="BZ154" s="78"/>
      <c r="CA154" s="78"/>
      <c r="CB154" s="78"/>
      <c r="CC154" s="78"/>
      <c r="CD154" s="78"/>
    </row>
    <row r="155">
      <c r="A155" s="10"/>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10"/>
      <c r="BV155" s="78"/>
      <c r="BW155" s="78"/>
      <c r="BX155" s="78"/>
      <c r="BY155" s="78"/>
      <c r="BZ155" s="78"/>
      <c r="CA155" s="78"/>
      <c r="CB155" s="78"/>
      <c r="CC155" s="78"/>
      <c r="CD155" s="78"/>
    </row>
    <row r="156">
      <c r="A156" s="10"/>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10"/>
      <c r="BV156" s="78"/>
      <c r="BW156" s="78"/>
      <c r="BX156" s="78"/>
      <c r="BY156" s="78"/>
      <c r="BZ156" s="78"/>
      <c r="CA156" s="78"/>
      <c r="CB156" s="78"/>
      <c r="CC156" s="78"/>
      <c r="CD156" s="78"/>
    </row>
    <row r="157">
      <c r="A157" s="10"/>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10"/>
      <c r="BV157" s="78"/>
      <c r="BW157" s="78"/>
      <c r="BX157" s="78"/>
      <c r="BY157" s="78"/>
      <c r="BZ157" s="78"/>
      <c r="CA157" s="78"/>
      <c r="CB157" s="78"/>
      <c r="CC157" s="78"/>
      <c r="CD157" s="78"/>
    </row>
    <row r="158">
      <c r="A158" s="10"/>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10"/>
      <c r="BV158" s="78"/>
      <c r="BW158" s="78"/>
      <c r="BX158" s="78"/>
      <c r="BY158" s="78"/>
      <c r="BZ158" s="78"/>
      <c r="CA158" s="78"/>
      <c r="CB158" s="78"/>
      <c r="CC158" s="78"/>
      <c r="CD158" s="78"/>
    </row>
    <row r="159">
      <c r="A159" s="10"/>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10"/>
      <c r="BV159" s="78"/>
      <c r="BW159" s="78"/>
      <c r="BX159" s="78"/>
      <c r="BY159" s="78"/>
      <c r="BZ159" s="78"/>
      <c r="CA159" s="78"/>
      <c r="CB159" s="78"/>
      <c r="CC159" s="78"/>
      <c r="CD159" s="78"/>
    </row>
    <row r="160">
      <c r="A160" s="10"/>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10"/>
      <c r="BV160" s="78"/>
      <c r="BW160" s="78"/>
      <c r="BX160" s="78"/>
      <c r="BY160" s="78"/>
      <c r="BZ160" s="78"/>
      <c r="CA160" s="78"/>
      <c r="CB160" s="78"/>
      <c r="CC160" s="78"/>
      <c r="CD160" s="78"/>
    </row>
    <row r="161">
      <c r="A161" s="10"/>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10"/>
      <c r="BV161" s="78"/>
      <c r="BW161" s="78"/>
      <c r="BX161" s="78"/>
      <c r="BY161" s="78"/>
      <c r="BZ161" s="78"/>
      <c r="CA161" s="78"/>
      <c r="CB161" s="78"/>
      <c r="CC161" s="78"/>
      <c r="CD161" s="78"/>
    </row>
    <row r="162">
      <c r="A162" s="10"/>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10"/>
      <c r="BV162" s="78"/>
      <c r="BW162" s="78"/>
      <c r="BX162" s="78"/>
      <c r="BY162" s="78"/>
      <c r="BZ162" s="78"/>
      <c r="CA162" s="78"/>
      <c r="CB162" s="78"/>
      <c r="CC162" s="78"/>
      <c r="CD162" s="78"/>
    </row>
    <row r="163">
      <c r="A163" s="10"/>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10"/>
      <c r="BV163" s="78"/>
      <c r="BW163" s="78"/>
      <c r="BX163" s="78"/>
      <c r="BY163" s="78"/>
      <c r="BZ163" s="78"/>
      <c r="CA163" s="78"/>
      <c r="CB163" s="78"/>
      <c r="CC163" s="78"/>
      <c r="CD163" s="78"/>
    </row>
    <row r="164">
      <c r="A164" s="10"/>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10"/>
      <c r="BV164" s="78"/>
      <c r="BW164" s="78"/>
      <c r="BX164" s="78"/>
      <c r="BY164" s="78"/>
      <c r="BZ164" s="78"/>
      <c r="CA164" s="78"/>
      <c r="CB164" s="78"/>
      <c r="CC164" s="78"/>
      <c r="CD164" s="78"/>
    </row>
    <row r="165">
      <c r="A165" s="10"/>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10"/>
      <c r="BV165" s="78"/>
      <c r="BW165" s="78"/>
      <c r="BX165" s="78"/>
      <c r="BY165" s="78"/>
      <c r="BZ165" s="78"/>
      <c r="CA165" s="78"/>
      <c r="CB165" s="78"/>
      <c r="CC165" s="78"/>
      <c r="CD165" s="78"/>
    </row>
    <row r="166">
      <c r="A166" s="10"/>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10"/>
      <c r="BV166" s="78"/>
      <c r="BW166" s="78"/>
      <c r="BX166" s="78"/>
      <c r="BY166" s="78"/>
      <c r="BZ166" s="78"/>
      <c r="CA166" s="78"/>
      <c r="CB166" s="78"/>
      <c r="CC166" s="78"/>
      <c r="CD166" s="78"/>
    </row>
    <row r="167">
      <c r="A167" s="10"/>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10"/>
      <c r="BV167" s="78"/>
      <c r="BW167" s="78"/>
      <c r="BX167" s="78"/>
      <c r="BY167" s="78"/>
      <c r="BZ167" s="78"/>
      <c r="CA167" s="78"/>
      <c r="CB167" s="78"/>
      <c r="CC167" s="78"/>
      <c r="CD167" s="78"/>
    </row>
    <row r="168">
      <c r="A168" s="10"/>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10"/>
      <c r="BV168" s="78"/>
      <c r="BW168" s="78"/>
      <c r="BX168" s="78"/>
      <c r="BY168" s="78"/>
      <c r="BZ168" s="78"/>
      <c r="CA168" s="78"/>
      <c r="CB168" s="78"/>
      <c r="CC168" s="78"/>
      <c r="CD168" s="78"/>
    </row>
    <row r="169">
      <c r="A169" s="10"/>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10"/>
      <c r="BV169" s="78"/>
      <c r="BW169" s="78"/>
      <c r="BX169" s="78"/>
      <c r="BY169" s="78"/>
      <c r="BZ169" s="78"/>
      <c r="CA169" s="78"/>
      <c r="CB169" s="78"/>
      <c r="CC169" s="78"/>
      <c r="CD169" s="78"/>
    </row>
    <row r="170">
      <c r="A170" s="10"/>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10"/>
      <c r="BV170" s="78"/>
      <c r="BW170" s="78"/>
      <c r="BX170" s="78"/>
      <c r="BY170" s="78"/>
      <c r="BZ170" s="78"/>
      <c r="CA170" s="78"/>
      <c r="CB170" s="78"/>
      <c r="CC170" s="78"/>
      <c r="CD170" s="78"/>
    </row>
    <row r="171">
      <c r="A171" s="10"/>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10"/>
      <c r="BV171" s="78"/>
      <c r="BW171" s="78"/>
      <c r="BX171" s="78"/>
      <c r="BY171" s="78"/>
      <c r="BZ171" s="78"/>
      <c r="CA171" s="78"/>
      <c r="CB171" s="78"/>
      <c r="CC171" s="78"/>
      <c r="CD171" s="78"/>
    </row>
    <row r="172">
      <c r="A172" s="10"/>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10"/>
      <c r="BV172" s="78"/>
      <c r="BW172" s="78"/>
      <c r="BX172" s="78"/>
      <c r="BY172" s="78"/>
      <c r="BZ172" s="78"/>
      <c r="CA172" s="78"/>
      <c r="CB172" s="78"/>
      <c r="CC172" s="78"/>
      <c r="CD172" s="78"/>
    </row>
    <row r="173">
      <c r="A173" s="10"/>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10"/>
      <c r="BV173" s="78"/>
      <c r="BW173" s="78"/>
      <c r="BX173" s="78"/>
      <c r="BY173" s="78"/>
      <c r="BZ173" s="78"/>
      <c r="CA173" s="78"/>
      <c r="CB173" s="78"/>
      <c r="CC173" s="78"/>
      <c r="CD173" s="78"/>
    </row>
    <row r="174">
      <c r="A174" s="10"/>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10"/>
      <c r="BV174" s="78"/>
      <c r="BW174" s="78"/>
      <c r="BX174" s="78"/>
      <c r="BY174" s="78"/>
      <c r="BZ174" s="78"/>
      <c r="CA174" s="78"/>
      <c r="CB174" s="78"/>
      <c r="CC174" s="78"/>
      <c r="CD174" s="78"/>
    </row>
    <row r="175">
      <c r="A175" s="10"/>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10"/>
      <c r="BV175" s="78"/>
      <c r="BW175" s="78"/>
      <c r="BX175" s="78"/>
      <c r="BY175" s="78"/>
      <c r="BZ175" s="78"/>
      <c r="CA175" s="78"/>
      <c r="CB175" s="78"/>
      <c r="CC175" s="78"/>
      <c r="CD175" s="78"/>
    </row>
    <row r="176">
      <c r="A176" s="10"/>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10"/>
      <c r="BV176" s="78"/>
      <c r="BW176" s="78"/>
      <c r="BX176" s="78"/>
      <c r="BY176" s="78"/>
      <c r="BZ176" s="78"/>
      <c r="CA176" s="78"/>
      <c r="CB176" s="78"/>
      <c r="CC176" s="78"/>
      <c r="CD176" s="78"/>
    </row>
    <row r="177">
      <c r="A177" s="10"/>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10"/>
      <c r="BV177" s="78"/>
      <c r="BW177" s="78"/>
      <c r="BX177" s="78"/>
      <c r="BY177" s="78"/>
      <c r="BZ177" s="78"/>
      <c r="CA177" s="78"/>
      <c r="CB177" s="78"/>
      <c r="CC177" s="78"/>
      <c r="CD177" s="78"/>
    </row>
    <row r="178">
      <c r="A178" s="10"/>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10"/>
      <c r="BV178" s="78"/>
      <c r="BW178" s="78"/>
      <c r="BX178" s="78"/>
      <c r="BY178" s="78"/>
      <c r="BZ178" s="78"/>
      <c r="CA178" s="78"/>
      <c r="CB178" s="78"/>
      <c r="CC178" s="78"/>
      <c r="CD178" s="78"/>
    </row>
    <row r="179">
      <c r="A179" s="10"/>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10"/>
      <c r="BV179" s="78"/>
      <c r="BW179" s="78"/>
      <c r="BX179" s="78"/>
      <c r="BY179" s="78"/>
      <c r="BZ179" s="78"/>
      <c r="CA179" s="78"/>
      <c r="CB179" s="78"/>
      <c r="CC179" s="78"/>
      <c r="CD179" s="78"/>
    </row>
    <row r="180">
      <c r="A180" s="10"/>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10"/>
      <c r="BV180" s="78"/>
      <c r="BW180" s="78"/>
      <c r="BX180" s="78"/>
      <c r="BY180" s="78"/>
      <c r="BZ180" s="78"/>
      <c r="CA180" s="78"/>
      <c r="CB180" s="78"/>
      <c r="CC180" s="78"/>
      <c r="CD180" s="78"/>
    </row>
    <row r="181">
      <c r="A181" s="10"/>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10"/>
      <c r="BV181" s="78"/>
      <c r="BW181" s="78"/>
      <c r="BX181" s="78"/>
      <c r="BY181" s="78"/>
      <c r="BZ181" s="78"/>
      <c r="CA181" s="78"/>
      <c r="CB181" s="78"/>
      <c r="CC181" s="78"/>
      <c r="CD181" s="78"/>
    </row>
    <row r="182">
      <c r="A182" s="10"/>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10"/>
      <c r="BV182" s="78"/>
      <c r="BW182" s="78"/>
      <c r="BX182" s="78"/>
      <c r="BY182" s="78"/>
      <c r="BZ182" s="78"/>
      <c r="CA182" s="78"/>
      <c r="CB182" s="78"/>
      <c r="CC182" s="78"/>
      <c r="CD182" s="78"/>
    </row>
    <row r="183">
      <c r="A183" s="10"/>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10"/>
      <c r="BV183" s="78"/>
      <c r="BW183" s="78"/>
      <c r="BX183" s="78"/>
      <c r="BY183" s="78"/>
      <c r="BZ183" s="78"/>
      <c r="CA183" s="78"/>
      <c r="CB183" s="78"/>
      <c r="CC183" s="78"/>
      <c r="CD183" s="78"/>
    </row>
    <row r="184">
      <c r="A184" s="10"/>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10"/>
      <c r="BV184" s="78"/>
      <c r="BW184" s="78"/>
      <c r="BX184" s="78"/>
      <c r="BY184" s="78"/>
      <c r="BZ184" s="78"/>
      <c r="CA184" s="78"/>
      <c r="CB184" s="78"/>
      <c r="CC184" s="78"/>
      <c r="CD184" s="78"/>
    </row>
    <row r="185">
      <c r="A185" s="10"/>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10"/>
      <c r="BV185" s="78"/>
      <c r="BW185" s="78"/>
      <c r="BX185" s="78"/>
      <c r="BY185" s="78"/>
      <c r="BZ185" s="78"/>
      <c r="CA185" s="78"/>
      <c r="CB185" s="78"/>
      <c r="CC185" s="78"/>
      <c r="CD185" s="78"/>
    </row>
    <row r="186">
      <c r="A186" s="10"/>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10"/>
      <c r="BV186" s="78"/>
      <c r="BW186" s="78"/>
      <c r="BX186" s="78"/>
      <c r="BY186" s="78"/>
      <c r="BZ186" s="78"/>
      <c r="CA186" s="78"/>
      <c r="CB186" s="78"/>
      <c r="CC186" s="78"/>
      <c r="CD186" s="78"/>
    </row>
    <row r="187">
      <c r="A187" s="10"/>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10"/>
      <c r="BV187" s="78"/>
      <c r="BW187" s="78"/>
      <c r="BX187" s="78"/>
      <c r="BY187" s="78"/>
      <c r="BZ187" s="78"/>
      <c r="CA187" s="78"/>
      <c r="CB187" s="78"/>
      <c r="CC187" s="78"/>
      <c r="CD187" s="78"/>
    </row>
    <row r="188">
      <c r="A188" s="10"/>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10"/>
      <c r="BV188" s="78"/>
      <c r="BW188" s="78"/>
      <c r="BX188" s="78"/>
      <c r="BY188" s="78"/>
      <c r="BZ188" s="78"/>
      <c r="CA188" s="78"/>
      <c r="CB188" s="78"/>
      <c r="CC188" s="78"/>
      <c r="CD188" s="78"/>
    </row>
    <row r="189">
      <c r="A189" s="10"/>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10"/>
      <c r="BV189" s="78"/>
      <c r="BW189" s="78"/>
      <c r="BX189" s="78"/>
      <c r="BY189" s="78"/>
      <c r="BZ189" s="78"/>
      <c r="CA189" s="78"/>
      <c r="CB189" s="78"/>
      <c r="CC189" s="78"/>
      <c r="CD189" s="78"/>
    </row>
    <row r="190">
      <c r="A190" s="10"/>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10"/>
      <c r="BV190" s="78"/>
      <c r="BW190" s="78"/>
      <c r="BX190" s="78"/>
      <c r="BY190" s="78"/>
      <c r="BZ190" s="78"/>
      <c r="CA190" s="78"/>
      <c r="CB190" s="78"/>
      <c r="CC190" s="78"/>
      <c r="CD190" s="78"/>
    </row>
    <row r="191">
      <c r="A191" s="10"/>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10"/>
      <c r="BV191" s="78"/>
      <c r="BW191" s="78"/>
      <c r="BX191" s="78"/>
      <c r="BY191" s="78"/>
      <c r="BZ191" s="78"/>
      <c r="CA191" s="78"/>
      <c r="CB191" s="78"/>
      <c r="CC191" s="78"/>
      <c r="CD191" s="78"/>
    </row>
    <row r="192">
      <c r="A192" s="10"/>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10"/>
      <c r="BV192" s="78"/>
      <c r="BW192" s="78"/>
      <c r="BX192" s="78"/>
      <c r="BY192" s="78"/>
      <c r="BZ192" s="78"/>
      <c r="CA192" s="78"/>
      <c r="CB192" s="78"/>
      <c r="CC192" s="78"/>
      <c r="CD192" s="78"/>
    </row>
    <row r="193">
      <c r="A193" s="10"/>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10"/>
      <c r="BV193" s="78"/>
      <c r="BW193" s="78"/>
      <c r="BX193" s="78"/>
      <c r="BY193" s="78"/>
      <c r="BZ193" s="78"/>
      <c r="CA193" s="78"/>
      <c r="CB193" s="78"/>
      <c r="CC193" s="78"/>
      <c r="CD193" s="78"/>
    </row>
    <row r="194">
      <c r="A194" s="10"/>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10"/>
      <c r="BV194" s="78"/>
      <c r="BW194" s="78"/>
      <c r="BX194" s="78"/>
      <c r="BY194" s="78"/>
      <c r="BZ194" s="78"/>
      <c r="CA194" s="78"/>
      <c r="CB194" s="78"/>
      <c r="CC194" s="78"/>
      <c r="CD194" s="78"/>
    </row>
    <row r="195">
      <c r="A195" s="10"/>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10"/>
      <c r="BV195" s="78"/>
      <c r="BW195" s="78"/>
      <c r="BX195" s="78"/>
      <c r="BY195" s="78"/>
      <c r="BZ195" s="78"/>
      <c r="CA195" s="78"/>
      <c r="CB195" s="78"/>
      <c r="CC195" s="78"/>
      <c r="CD195" s="78"/>
    </row>
    <row r="196">
      <c r="A196" s="10"/>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10"/>
      <c r="BV196" s="78"/>
      <c r="BW196" s="78"/>
      <c r="BX196" s="78"/>
      <c r="BY196" s="78"/>
      <c r="BZ196" s="78"/>
      <c r="CA196" s="78"/>
      <c r="CB196" s="78"/>
      <c r="CC196" s="78"/>
      <c r="CD196" s="78"/>
    </row>
    <row r="197">
      <c r="A197" s="10"/>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10"/>
      <c r="BV197" s="78"/>
      <c r="BW197" s="78"/>
      <c r="BX197" s="78"/>
      <c r="BY197" s="78"/>
      <c r="BZ197" s="78"/>
      <c r="CA197" s="78"/>
      <c r="CB197" s="78"/>
      <c r="CC197" s="78"/>
      <c r="CD197" s="78"/>
    </row>
    <row r="198">
      <c r="A198" s="10"/>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10"/>
      <c r="BV198" s="78"/>
      <c r="BW198" s="78"/>
      <c r="BX198" s="78"/>
      <c r="BY198" s="78"/>
      <c r="BZ198" s="78"/>
      <c r="CA198" s="78"/>
      <c r="CB198" s="78"/>
      <c r="CC198" s="78"/>
      <c r="CD198" s="78"/>
    </row>
    <row r="199">
      <c r="A199" s="10"/>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10"/>
      <c r="BV199" s="78"/>
      <c r="BW199" s="78"/>
      <c r="BX199" s="78"/>
      <c r="BY199" s="78"/>
      <c r="BZ199" s="78"/>
      <c r="CA199" s="78"/>
      <c r="CB199" s="78"/>
      <c r="CC199" s="78"/>
      <c r="CD199" s="78"/>
    </row>
    <row r="200">
      <c r="A200" s="10"/>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10"/>
      <c r="BV200" s="78"/>
      <c r="BW200" s="78"/>
      <c r="BX200" s="78"/>
      <c r="BY200" s="78"/>
      <c r="BZ200" s="78"/>
      <c r="CA200" s="78"/>
      <c r="CB200" s="78"/>
      <c r="CC200" s="78"/>
      <c r="CD200" s="78"/>
    </row>
    <row r="201">
      <c r="A201" s="10"/>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10"/>
      <c r="BV201" s="78"/>
      <c r="BW201" s="78"/>
      <c r="BX201" s="78"/>
      <c r="BY201" s="78"/>
      <c r="BZ201" s="78"/>
      <c r="CA201" s="78"/>
      <c r="CB201" s="78"/>
      <c r="CC201" s="78"/>
      <c r="CD201" s="78"/>
    </row>
    <row r="202">
      <c r="A202" s="10"/>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10"/>
      <c r="BV202" s="78"/>
      <c r="BW202" s="78"/>
      <c r="BX202" s="78"/>
      <c r="BY202" s="78"/>
      <c r="BZ202" s="78"/>
      <c r="CA202" s="78"/>
      <c r="CB202" s="78"/>
      <c r="CC202" s="78"/>
      <c r="CD202" s="78"/>
    </row>
    <row r="203">
      <c r="A203" s="10"/>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10"/>
      <c r="BV203" s="78"/>
      <c r="BW203" s="78"/>
      <c r="BX203" s="78"/>
      <c r="BY203" s="78"/>
      <c r="BZ203" s="78"/>
      <c r="CA203" s="78"/>
      <c r="CB203" s="78"/>
      <c r="CC203" s="78"/>
      <c r="CD203" s="78"/>
    </row>
    <row r="204">
      <c r="A204" s="10"/>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10"/>
      <c r="BV204" s="78"/>
      <c r="BW204" s="78"/>
      <c r="BX204" s="78"/>
      <c r="BY204" s="78"/>
      <c r="BZ204" s="78"/>
      <c r="CA204" s="78"/>
      <c r="CB204" s="78"/>
      <c r="CC204" s="78"/>
      <c r="CD204" s="78"/>
    </row>
    <row r="205">
      <c r="A205" s="10"/>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10"/>
      <c r="BV205" s="78"/>
      <c r="BW205" s="78"/>
      <c r="BX205" s="78"/>
      <c r="BY205" s="78"/>
      <c r="BZ205" s="78"/>
      <c r="CA205" s="78"/>
      <c r="CB205" s="78"/>
      <c r="CC205" s="78"/>
      <c r="CD205" s="78"/>
    </row>
    <row r="206">
      <c r="A206" s="10"/>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10"/>
      <c r="BV206" s="78"/>
      <c r="BW206" s="78"/>
      <c r="BX206" s="78"/>
      <c r="BY206" s="78"/>
      <c r="BZ206" s="78"/>
      <c r="CA206" s="78"/>
      <c r="CB206" s="78"/>
      <c r="CC206" s="78"/>
      <c r="CD206" s="78"/>
    </row>
    <row r="207">
      <c r="A207" s="10"/>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10"/>
      <c r="BV207" s="78"/>
      <c r="BW207" s="78"/>
      <c r="BX207" s="78"/>
      <c r="BY207" s="78"/>
      <c r="BZ207" s="78"/>
      <c r="CA207" s="78"/>
      <c r="CB207" s="78"/>
      <c r="CC207" s="78"/>
      <c r="CD207" s="78"/>
    </row>
    <row r="208">
      <c r="A208" s="10"/>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10"/>
      <c r="BV208" s="78"/>
      <c r="BW208" s="78"/>
      <c r="BX208" s="78"/>
      <c r="BY208" s="78"/>
      <c r="BZ208" s="78"/>
      <c r="CA208" s="78"/>
      <c r="CB208" s="78"/>
      <c r="CC208" s="78"/>
      <c r="CD208" s="78"/>
    </row>
    <row r="209">
      <c r="A209" s="10"/>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10"/>
      <c r="BV209" s="78"/>
      <c r="BW209" s="78"/>
      <c r="BX209" s="78"/>
      <c r="BY209" s="78"/>
      <c r="BZ209" s="78"/>
      <c r="CA209" s="78"/>
      <c r="CB209" s="78"/>
      <c r="CC209" s="78"/>
      <c r="CD209" s="78"/>
    </row>
    <row r="210">
      <c r="A210" s="10"/>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10"/>
      <c r="BV210" s="78"/>
      <c r="BW210" s="78"/>
      <c r="BX210" s="78"/>
      <c r="BY210" s="78"/>
      <c r="BZ210" s="78"/>
      <c r="CA210" s="78"/>
      <c r="CB210" s="78"/>
      <c r="CC210" s="78"/>
      <c r="CD210" s="78"/>
    </row>
    <row r="211">
      <c r="A211" s="10"/>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10"/>
      <c r="BV211" s="78"/>
      <c r="BW211" s="78"/>
      <c r="BX211" s="78"/>
      <c r="BY211" s="78"/>
      <c r="BZ211" s="78"/>
      <c r="CA211" s="78"/>
      <c r="CB211" s="78"/>
      <c r="CC211" s="78"/>
      <c r="CD211" s="78"/>
    </row>
    <row r="212">
      <c r="A212" s="10"/>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10"/>
      <c r="BV212" s="78"/>
      <c r="BW212" s="78"/>
      <c r="BX212" s="78"/>
      <c r="BY212" s="78"/>
      <c r="BZ212" s="78"/>
      <c r="CA212" s="78"/>
      <c r="CB212" s="78"/>
      <c r="CC212" s="78"/>
      <c r="CD212" s="78"/>
    </row>
    <row r="213">
      <c r="A213" s="10"/>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10"/>
      <c r="BV213" s="78"/>
      <c r="BW213" s="78"/>
      <c r="BX213" s="78"/>
      <c r="BY213" s="78"/>
      <c r="BZ213" s="78"/>
      <c r="CA213" s="78"/>
      <c r="CB213" s="78"/>
      <c r="CC213" s="78"/>
      <c r="CD213" s="78"/>
    </row>
    <row r="214">
      <c r="A214" s="10"/>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10"/>
      <c r="BV214" s="78"/>
      <c r="BW214" s="78"/>
      <c r="BX214" s="78"/>
      <c r="BY214" s="78"/>
      <c r="BZ214" s="78"/>
      <c r="CA214" s="78"/>
      <c r="CB214" s="78"/>
      <c r="CC214" s="78"/>
      <c r="CD214" s="78"/>
    </row>
    <row r="215">
      <c r="A215" s="10"/>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10"/>
      <c r="BV215" s="78"/>
      <c r="BW215" s="78"/>
      <c r="BX215" s="78"/>
      <c r="BY215" s="78"/>
      <c r="BZ215" s="78"/>
      <c r="CA215" s="78"/>
      <c r="CB215" s="78"/>
      <c r="CC215" s="78"/>
      <c r="CD215" s="78"/>
    </row>
    <row r="216">
      <c r="A216" s="10"/>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10"/>
      <c r="BV216" s="78"/>
      <c r="BW216" s="78"/>
      <c r="BX216" s="78"/>
      <c r="BY216" s="78"/>
      <c r="BZ216" s="78"/>
      <c r="CA216" s="78"/>
      <c r="CB216" s="78"/>
      <c r="CC216" s="78"/>
      <c r="CD216" s="78"/>
    </row>
    <row r="217">
      <c r="A217" s="10"/>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10"/>
      <c r="BV217" s="78"/>
      <c r="BW217" s="78"/>
      <c r="BX217" s="78"/>
      <c r="BY217" s="78"/>
      <c r="BZ217" s="78"/>
      <c r="CA217" s="78"/>
      <c r="CB217" s="78"/>
      <c r="CC217" s="78"/>
      <c r="CD217" s="78"/>
    </row>
    <row r="218">
      <c r="A218" s="10"/>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10"/>
      <c r="BV218" s="78"/>
      <c r="BW218" s="78"/>
      <c r="BX218" s="78"/>
      <c r="BY218" s="78"/>
      <c r="BZ218" s="78"/>
      <c r="CA218" s="78"/>
      <c r="CB218" s="78"/>
      <c r="CC218" s="78"/>
      <c r="CD218" s="78"/>
    </row>
    <row r="219">
      <c r="A219" s="10"/>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10"/>
      <c r="BV219" s="78"/>
      <c r="BW219" s="78"/>
      <c r="BX219" s="78"/>
      <c r="BY219" s="78"/>
      <c r="BZ219" s="78"/>
      <c r="CA219" s="78"/>
      <c r="CB219" s="78"/>
      <c r="CC219" s="78"/>
      <c r="CD219" s="78"/>
    </row>
    <row r="220">
      <c r="A220" s="10"/>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10"/>
      <c r="BV220" s="78"/>
      <c r="BW220" s="78"/>
      <c r="BX220" s="78"/>
      <c r="BY220" s="78"/>
      <c r="BZ220" s="78"/>
      <c r="CA220" s="78"/>
      <c r="CB220" s="78"/>
      <c r="CC220" s="78"/>
      <c r="CD220" s="78"/>
    </row>
    <row r="221">
      <c r="A221" s="10"/>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10"/>
      <c r="BV221" s="78"/>
      <c r="BW221" s="78"/>
      <c r="BX221" s="78"/>
      <c r="BY221" s="78"/>
      <c r="BZ221" s="78"/>
      <c r="CA221" s="78"/>
      <c r="CB221" s="78"/>
      <c r="CC221" s="78"/>
      <c r="CD221" s="78"/>
    </row>
    <row r="222">
      <c r="A222" s="10"/>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10"/>
      <c r="BV222" s="78"/>
      <c r="BW222" s="78"/>
      <c r="BX222" s="78"/>
      <c r="BY222" s="78"/>
      <c r="BZ222" s="78"/>
      <c r="CA222" s="78"/>
      <c r="CB222" s="78"/>
      <c r="CC222" s="78"/>
      <c r="CD222" s="78"/>
    </row>
    <row r="223">
      <c r="A223" s="10"/>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10"/>
      <c r="BV223" s="78"/>
      <c r="BW223" s="78"/>
      <c r="BX223" s="78"/>
      <c r="BY223" s="78"/>
      <c r="BZ223" s="78"/>
      <c r="CA223" s="78"/>
      <c r="CB223" s="78"/>
      <c r="CC223" s="78"/>
      <c r="CD223" s="78"/>
    </row>
    <row r="224">
      <c r="A224" s="10"/>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10"/>
      <c r="BV224" s="78"/>
      <c r="BW224" s="78"/>
      <c r="BX224" s="78"/>
      <c r="BY224" s="78"/>
      <c r="BZ224" s="78"/>
      <c r="CA224" s="78"/>
      <c r="CB224" s="78"/>
      <c r="CC224" s="78"/>
      <c r="CD224" s="78"/>
    </row>
    <row r="225">
      <c r="A225" s="10"/>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10"/>
      <c r="BV225" s="78"/>
      <c r="BW225" s="78"/>
      <c r="BX225" s="78"/>
      <c r="BY225" s="78"/>
      <c r="BZ225" s="78"/>
      <c r="CA225" s="78"/>
      <c r="CB225" s="78"/>
      <c r="CC225" s="78"/>
      <c r="CD225" s="78"/>
    </row>
    <row r="226">
      <c r="A226" s="10"/>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10"/>
      <c r="BV226" s="78"/>
      <c r="BW226" s="78"/>
      <c r="BX226" s="78"/>
      <c r="BY226" s="78"/>
      <c r="BZ226" s="78"/>
      <c r="CA226" s="78"/>
      <c r="CB226" s="78"/>
      <c r="CC226" s="78"/>
      <c r="CD226" s="78"/>
    </row>
    <row r="227">
      <c r="A227" s="10"/>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10"/>
      <c r="BV227" s="78"/>
      <c r="BW227" s="78"/>
      <c r="BX227" s="78"/>
      <c r="BY227" s="78"/>
      <c r="BZ227" s="78"/>
      <c r="CA227" s="78"/>
      <c r="CB227" s="78"/>
      <c r="CC227" s="78"/>
      <c r="CD227" s="78"/>
    </row>
    <row r="228">
      <c r="A228" s="10"/>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10"/>
      <c r="BV228" s="78"/>
      <c r="BW228" s="78"/>
      <c r="BX228" s="78"/>
      <c r="BY228" s="78"/>
      <c r="BZ228" s="78"/>
      <c r="CA228" s="78"/>
      <c r="CB228" s="78"/>
      <c r="CC228" s="78"/>
      <c r="CD228" s="78"/>
    </row>
    <row r="229">
      <c r="A229" s="10"/>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10"/>
      <c r="BV229" s="78"/>
      <c r="BW229" s="78"/>
      <c r="BX229" s="78"/>
      <c r="BY229" s="78"/>
      <c r="BZ229" s="78"/>
      <c r="CA229" s="78"/>
      <c r="CB229" s="78"/>
      <c r="CC229" s="78"/>
      <c r="CD229" s="78"/>
    </row>
    <row r="230">
      <c r="A230" s="10"/>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10"/>
      <c r="BV230" s="78"/>
      <c r="BW230" s="78"/>
      <c r="BX230" s="78"/>
      <c r="BY230" s="78"/>
      <c r="BZ230" s="78"/>
      <c r="CA230" s="78"/>
      <c r="CB230" s="78"/>
      <c r="CC230" s="78"/>
      <c r="CD230" s="78"/>
    </row>
    <row r="231">
      <c r="A231" s="10"/>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10"/>
      <c r="BV231" s="78"/>
      <c r="BW231" s="78"/>
      <c r="BX231" s="78"/>
      <c r="BY231" s="78"/>
      <c r="BZ231" s="78"/>
      <c r="CA231" s="78"/>
      <c r="CB231" s="78"/>
      <c r="CC231" s="78"/>
      <c r="CD231" s="78"/>
    </row>
    <row r="232">
      <c r="A232" s="10"/>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10"/>
      <c r="BV232" s="78"/>
      <c r="BW232" s="78"/>
      <c r="BX232" s="78"/>
      <c r="BY232" s="78"/>
      <c r="BZ232" s="78"/>
      <c r="CA232" s="78"/>
      <c r="CB232" s="78"/>
      <c r="CC232" s="78"/>
      <c r="CD232" s="78"/>
    </row>
    <row r="233">
      <c r="A233" s="10"/>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10"/>
      <c r="BV233" s="78"/>
      <c r="BW233" s="78"/>
      <c r="BX233" s="78"/>
      <c r="BY233" s="78"/>
      <c r="BZ233" s="78"/>
      <c r="CA233" s="78"/>
      <c r="CB233" s="78"/>
      <c r="CC233" s="78"/>
      <c r="CD233" s="78"/>
    </row>
    <row r="234">
      <c r="A234" s="10"/>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10"/>
      <c r="BV234" s="78"/>
      <c r="BW234" s="78"/>
      <c r="BX234" s="78"/>
      <c r="BY234" s="78"/>
      <c r="BZ234" s="78"/>
      <c r="CA234" s="78"/>
      <c r="CB234" s="78"/>
      <c r="CC234" s="78"/>
      <c r="CD234" s="78"/>
    </row>
    <row r="235">
      <c r="A235" s="10"/>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10"/>
      <c r="BV235" s="78"/>
      <c r="BW235" s="78"/>
      <c r="BX235" s="78"/>
      <c r="BY235" s="78"/>
      <c r="BZ235" s="78"/>
      <c r="CA235" s="78"/>
      <c r="CB235" s="78"/>
      <c r="CC235" s="78"/>
      <c r="CD235" s="78"/>
    </row>
    <row r="236">
      <c r="A236" s="10"/>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10"/>
      <c r="BV236" s="78"/>
      <c r="BW236" s="78"/>
      <c r="BX236" s="78"/>
      <c r="BY236" s="78"/>
      <c r="BZ236" s="78"/>
      <c r="CA236" s="78"/>
      <c r="CB236" s="78"/>
      <c r="CC236" s="78"/>
      <c r="CD236" s="78"/>
    </row>
    <row r="237">
      <c r="A237" s="10"/>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10"/>
      <c r="BV237" s="78"/>
      <c r="BW237" s="78"/>
      <c r="BX237" s="78"/>
      <c r="BY237" s="78"/>
      <c r="BZ237" s="78"/>
      <c r="CA237" s="78"/>
      <c r="CB237" s="78"/>
      <c r="CC237" s="78"/>
      <c r="CD237" s="78"/>
    </row>
    <row r="238">
      <c r="A238" s="10"/>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10"/>
      <c r="BV238" s="78"/>
      <c r="BW238" s="78"/>
      <c r="BX238" s="78"/>
      <c r="BY238" s="78"/>
      <c r="BZ238" s="78"/>
      <c r="CA238" s="78"/>
      <c r="CB238" s="78"/>
      <c r="CC238" s="78"/>
      <c r="CD238" s="78"/>
    </row>
    <row r="239">
      <c r="A239" s="10"/>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10"/>
      <c r="BV239" s="78"/>
      <c r="BW239" s="78"/>
      <c r="BX239" s="78"/>
      <c r="BY239" s="78"/>
      <c r="BZ239" s="78"/>
      <c r="CA239" s="78"/>
      <c r="CB239" s="78"/>
      <c r="CC239" s="78"/>
      <c r="CD239" s="78"/>
    </row>
    <row r="240">
      <c r="A240" s="10"/>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10"/>
      <c r="BV240" s="78"/>
      <c r="BW240" s="78"/>
      <c r="BX240" s="78"/>
      <c r="BY240" s="78"/>
      <c r="BZ240" s="78"/>
      <c r="CA240" s="78"/>
      <c r="CB240" s="78"/>
      <c r="CC240" s="78"/>
      <c r="CD240" s="78"/>
    </row>
    <row r="241">
      <c r="A241" s="10"/>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10"/>
      <c r="BV241" s="78"/>
      <c r="BW241" s="78"/>
      <c r="BX241" s="78"/>
      <c r="BY241" s="78"/>
      <c r="BZ241" s="78"/>
      <c r="CA241" s="78"/>
      <c r="CB241" s="78"/>
      <c r="CC241" s="78"/>
      <c r="CD241" s="78"/>
    </row>
    <row r="242">
      <c r="A242" s="10"/>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10"/>
      <c r="BV242" s="78"/>
      <c r="BW242" s="78"/>
      <c r="BX242" s="78"/>
      <c r="BY242" s="78"/>
      <c r="BZ242" s="78"/>
      <c r="CA242" s="78"/>
      <c r="CB242" s="78"/>
      <c r="CC242" s="78"/>
      <c r="CD242" s="78"/>
    </row>
    <row r="243">
      <c r="A243" s="10"/>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10"/>
      <c r="BV243" s="78"/>
      <c r="BW243" s="78"/>
      <c r="BX243" s="78"/>
      <c r="BY243" s="78"/>
      <c r="BZ243" s="78"/>
      <c r="CA243" s="78"/>
      <c r="CB243" s="78"/>
      <c r="CC243" s="78"/>
      <c r="CD243" s="78"/>
    </row>
    <row r="244">
      <c r="A244" s="10"/>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10"/>
      <c r="BV244" s="78"/>
      <c r="BW244" s="78"/>
      <c r="BX244" s="78"/>
      <c r="BY244" s="78"/>
      <c r="BZ244" s="78"/>
      <c r="CA244" s="78"/>
      <c r="CB244" s="78"/>
      <c r="CC244" s="78"/>
      <c r="CD244" s="78"/>
    </row>
    <row r="245">
      <c r="A245" s="10"/>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10"/>
      <c r="BV245" s="78"/>
      <c r="BW245" s="78"/>
      <c r="BX245" s="78"/>
      <c r="BY245" s="78"/>
      <c r="BZ245" s="78"/>
      <c r="CA245" s="78"/>
      <c r="CB245" s="78"/>
      <c r="CC245" s="78"/>
      <c r="CD245" s="78"/>
    </row>
    <row r="246">
      <c r="A246" s="10"/>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10"/>
      <c r="BV246" s="78"/>
      <c r="BW246" s="78"/>
      <c r="BX246" s="78"/>
      <c r="BY246" s="78"/>
      <c r="BZ246" s="78"/>
      <c r="CA246" s="78"/>
      <c r="CB246" s="78"/>
      <c r="CC246" s="78"/>
      <c r="CD246" s="78"/>
    </row>
    <row r="247">
      <c r="A247" s="10"/>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10"/>
      <c r="BV247" s="78"/>
      <c r="BW247" s="78"/>
      <c r="BX247" s="78"/>
      <c r="BY247" s="78"/>
      <c r="BZ247" s="78"/>
      <c r="CA247" s="78"/>
      <c r="CB247" s="78"/>
      <c r="CC247" s="78"/>
      <c r="CD247" s="78"/>
    </row>
    <row r="248">
      <c r="A248" s="10"/>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10"/>
      <c r="BV248" s="78"/>
      <c r="BW248" s="78"/>
      <c r="BX248" s="78"/>
      <c r="BY248" s="78"/>
      <c r="BZ248" s="78"/>
      <c r="CA248" s="78"/>
      <c r="CB248" s="78"/>
      <c r="CC248" s="78"/>
      <c r="CD248" s="78"/>
    </row>
    <row r="249">
      <c r="A249" s="10"/>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10"/>
      <c r="BV249" s="78"/>
      <c r="BW249" s="78"/>
      <c r="BX249" s="78"/>
      <c r="BY249" s="78"/>
      <c r="BZ249" s="78"/>
      <c r="CA249" s="78"/>
      <c r="CB249" s="78"/>
      <c r="CC249" s="78"/>
      <c r="CD249" s="78"/>
    </row>
    <row r="250">
      <c r="A250" s="10"/>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10"/>
      <c r="BV250" s="78"/>
      <c r="BW250" s="78"/>
      <c r="BX250" s="78"/>
      <c r="BY250" s="78"/>
      <c r="BZ250" s="78"/>
      <c r="CA250" s="78"/>
      <c r="CB250" s="78"/>
      <c r="CC250" s="78"/>
      <c r="CD250" s="78"/>
    </row>
    <row r="251">
      <c r="A251" s="10"/>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10"/>
      <c r="BV251" s="78"/>
      <c r="BW251" s="78"/>
      <c r="BX251" s="78"/>
      <c r="BY251" s="78"/>
      <c r="BZ251" s="78"/>
      <c r="CA251" s="78"/>
      <c r="CB251" s="78"/>
      <c r="CC251" s="78"/>
      <c r="CD251" s="78"/>
    </row>
    <row r="252">
      <c r="A252" s="10"/>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10"/>
      <c r="BV252" s="78"/>
      <c r="BW252" s="78"/>
      <c r="BX252" s="78"/>
      <c r="BY252" s="78"/>
      <c r="BZ252" s="78"/>
      <c r="CA252" s="78"/>
      <c r="CB252" s="78"/>
      <c r="CC252" s="78"/>
      <c r="CD252" s="78"/>
    </row>
    <row r="253">
      <c r="A253" s="10"/>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10"/>
      <c r="BV253" s="78"/>
      <c r="BW253" s="78"/>
      <c r="BX253" s="78"/>
      <c r="BY253" s="78"/>
      <c r="BZ253" s="78"/>
      <c r="CA253" s="78"/>
      <c r="CB253" s="78"/>
      <c r="CC253" s="78"/>
      <c r="CD253" s="78"/>
    </row>
    <row r="254">
      <c r="A254" s="10"/>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10"/>
      <c r="BV254" s="78"/>
      <c r="BW254" s="78"/>
      <c r="BX254" s="78"/>
      <c r="BY254" s="78"/>
      <c r="BZ254" s="78"/>
      <c r="CA254" s="78"/>
      <c r="CB254" s="78"/>
      <c r="CC254" s="78"/>
      <c r="CD254" s="78"/>
    </row>
    <row r="255">
      <c r="A255" s="10"/>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10"/>
      <c r="BV255" s="78"/>
      <c r="BW255" s="78"/>
      <c r="BX255" s="78"/>
      <c r="BY255" s="78"/>
      <c r="BZ255" s="78"/>
      <c r="CA255" s="78"/>
      <c r="CB255" s="78"/>
      <c r="CC255" s="78"/>
      <c r="CD255" s="78"/>
    </row>
    <row r="256">
      <c r="A256" s="10"/>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10"/>
      <c r="BV256" s="78"/>
      <c r="BW256" s="78"/>
      <c r="BX256" s="78"/>
      <c r="BY256" s="78"/>
      <c r="BZ256" s="78"/>
      <c r="CA256" s="78"/>
      <c r="CB256" s="78"/>
      <c r="CC256" s="78"/>
      <c r="CD256" s="78"/>
    </row>
    <row r="257">
      <c r="A257" s="10"/>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10"/>
      <c r="BV257" s="78"/>
      <c r="BW257" s="78"/>
      <c r="BX257" s="78"/>
      <c r="BY257" s="78"/>
      <c r="BZ257" s="78"/>
      <c r="CA257" s="78"/>
      <c r="CB257" s="78"/>
      <c r="CC257" s="78"/>
      <c r="CD257" s="78"/>
    </row>
    <row r="258">
      <c r="A258" s="10"/>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10"/>
      <c r="BV258" s="78"/>
      <c r="BW258" s="78"/>
      <c r="BX258" s="78"/>
      <c r="BY258" s="78"/>
      <c r="BZ258" s="78"/>
      <c r="CA258" s="78"/>
      <c r="CB258" s="78"/>
      <c r="CC258" s="78"/>
      <c r="CD258" s="78"/>
    </row>
    <row r="259">
      <c r="A259" s="10"/>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10"/>
      <c r="BV259" s="78"/>
      <c r="BW259" s="78"/>
      <c r="BX259" s="78"/>
      <c r="BY259" s="78"/>
      <c r="BZ259" s="78"/>
      <c r="CA259" s="78"/>
      <c r="CB259" s="78"/>
      <c r="CC259" s="78"/>
      <c r="CD259" s="78"/>
    </row>
    <row r="260">
      <c r="A260" s="10"/>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10"/>
      <c r="BV260" s="78"/>
      <c r="BW260" s="78"/>
      <c r="BX260" s="78"/>
      <c r="BY260" s="78"/>
      <c r="BZ260" s="78"/>
      <c r="CA260" s="78"/>
      <c r="CB260" s="78"/>
      <c r="CC260" s="78"/>
      <c r="CD260" s="78"/>
    </row>
    <row r="261">
      <c r="A261" s="10"/>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10"/>
      <c r="BV261" s="78"/>
      <c r="BW261" s="78"/>
      <c r="BX261" s="78"/>
      <c r="BY261" s="78"/>
      <c r="BZ261" s="78"/>
      <c r="CA261" s="78"/>
      <c r="CB261" s="78"/>
      <c r="CC261" s="78"/>
      <c r="CD261" s="78"/>
    </row>
    <row r="262">
      <c r="A262" s="10"/>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10"/>
      <c r="BV262" s="78"/>
      <c r="BW262" s="78"/>
      <c r="BX262" s="78"/>
      <c r="BY262" s="78"/>
      <c r="BZ262" s="78"/>
      <c r="CA262" s="78"/>
      <c r="CB262" s="78"/>
      <c r="CC262" s="78"/>
      <c r="CD262" s="78"/>
    </row>
    <row r="263">
      <c r="A263" s="10"/>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10"/>
      <c r="BV263" s="78"/>
      <c r="BW263" s="78"/>
      <c r="BX263" s="78"/>
      <c r="BY263" s="78"/>
      <c r="BZ263" s="78"/>
      <c r="CA263" s="78"/>
      <c r="CB263" s="78"/>
      <c r="CC263" s="78"/>
      <c r="CD263" s="78"/>
    </row>
    <row r="264">
      <c r="A264" s="10"/>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10"/>
      <c r="BV264" s="78"/>
      <c r="BW264" s="78"/>
      <c r="BX264" s="78"/>
      <c r="BY264" s="78"/>
      <c r="BZ264" s="78"/>
      <c r="CA264" s="78"/>
      <c r="CB264" s="78"/>
      <c r="CC264" s="78"/>
      <c r="CD264" s="78"/>
    </row>
    <row r="265">
      <c r="A265" s="10"/>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10"/>
      <c r="BV265" s="78"/>
      <c r="BW265" s="78"/>
      <c r="BX265" s="78"/>
      <c r="BY265" s="78"/>
      <c r="BZ265" s="78"/>
      <c r="CA265" s="78"/>
      <c r="CB265" s="78"/>
      <c r="CC265" s="78"/>
      <c r="CD265" s="78"/>
    </row>
    <row r="266">
      <c r="A266" s="10"/>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10"/>
      <c r="BV266" s="78"/>
      <c r="BW266" s="78"/>
      <c r="BX266" s="78"/>
      <c r="BY266" s="78"/>
      <c r="BZ266" s="78"/>
      <c r="CA266" s="78"/>
      <c r="CB266" s="78"/>
      <c r="CC266" s="78"/>
      <c r="CD266" s="78"/>
    </row>
    <row r="267">
      <c r="A267" s="10"/>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10"/>
      <c r="BV267" s="78"/>
      <c r="BW267" s="78"/>
      <c r="BX267" s="78"/>
      <c r="BY267" s="78"/>
      <c r="BZ267" s="78"/>
      <c r="CA267" s="78"/>
      <c r="CB267" s="78"/>
      <c r="CC267" s="78"/>
      <c r="CD267" s="78"/>
    </row>
    <row r="268">
      <c r="A268" s="10"/>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10"/>
      <c r="BV268" s="78"/>
      <c r="BW268" s="78"/>
      <c r="BX268" s="78"/>
      <c r="BY268" s="78"/>
      <c r="BZ268" s="78"/>
      <c r="CA268" s="78"/>
      <c r="CB268" s="78"/>
      <c r="CC268" s="78"/>
      <c r="CD268" s="78"/>
    </row>
    <row r="269">
      <c r="A269" s="10"/>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10"/>
      <c r="BV269" s="78"/>
      <c r="BW269" s="78"/>
      <c r="BX269" s="78"/>
      <c r="BY269" s="78"/>
      <c r="BZ269" s="78"/>
      <c r="CA269" s="78"/>
      <c r="CB269" s="78"/>
      <c r="CC269" s="78"/>
      <c r="CD269" s="78"/>
    </row>
    <row r="270">
      <c r="A270" s="10"/>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10"/>
      <c r="BV270" s="78"/>
      <c r="BW270" s="78"/>
      <c r="BX270" s="78"/>
      <c r="BY270" s="78"/>
      <c r="BZ270" s="78"/>
      <c r="CA270" s="78"/>
      <c r="CB270" s="78"/>
      <c r="CC270" s="78"/>
      <c r="CD270" s="78"/>
    </row>
    <row r="271">
      <c r="A271" s="10"/>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10"/>
      <c r="BV271" s="78"/>
      <c r="BW271" s="78"/>
      <c r="BX271" s="78"/>
      <c r="BY271" s="78"/>
      <c r="BZ271" s="78"/>
      <c r="CA271" s="78"/>
      <c r="CB271" s="78"/>
      <c r="CC271" s="78"/>
      <c r="CD271" s="78"/>
    </row>
    <row r="272">
      <c r="A272" s="10"/>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10"/>
      <c r="BV272" s="78"/>
      <c r="BW272" s="78"/>
      <c r="BX272" s="78"/>
      <c r="BY272" s="78"/>
      <c r="BZ272" s="78"/>
      <c r="CA272" s="78"/>
      <c r="CB272" s="78"/>
      <c r="CC272" s="78"/>
      <c r="CD272" s="78"/>
    </row>
    <row r="273">
      <c r="A273" s="10"/>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10"/>
      <c r="BV273" s="78"/>
      <c r="BW273" s="78"/>
      <c r="BX273" s="78"/>
      <c r="BY273" s="78"/>
      <c r="BZ273" s="78"/>
      <c r="CA273" s="78"/>
      <c r="CB273" s="78"/>
      <c r="CC273" s="78"/>
      <c r="CD273" s="78"/>
    </row>
    <row r="274">
      <c r="A274" s="10"/>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10"/>
      <c r="BV274" s="78"/>
      <c r="BW274" s="78"/>
      <c r="BX274" s="78"/>
      <c r="BY274" s="78"/>
      <c r="BZ274" s="78"/>
      <c r="CA274" s="78"/>
      <c r="CB274" s="78"/>
      <c r="CC274" s="78"/>
      <c r="CD274" s="78"/>
    </row>
    <row r="275">
      <c r="A275" s="10"/>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10"/>
      <c r="BV275" s="78"/>
      <c r="BW275" s="78"/>
      <c r="BX275" s="78"/>
      <c r="BY275" s="78"/>
      <c r="BZ275" s="78"/>
      <c r="CA275" s="78"/>
      <c r="CB275" s="78"/>
      <c r="CC275" s="78"/>
      <c r="CD275" s="78"/>
    </row>
    <row r="276">
      <c r="A276" s="10"/>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10"/>
      <c r="BV276" s="78"/>
      <c r="BW276" s="78"/>
      <c r="BX276" s="78"/>
      <c r="BY276" s="78"/>
      <c r="BZ276" s="78"/>
      <c r="CA276" s="78"/>
      <c r="CB276" s="78"/>
      <c r="CC276" s="78"/>
      <c r="CD276" s="78"/>
    </row>
    <row r="277">
      <c r="A277" s="10"/>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10"/>
      <c r="BV277" s="78"/>
      <c r="BW277" s="78"/>
      <c r="BX277" s="78"/>
      <c r="BY277" s="78"/>
      <c r="BZ277" s="78"/>
      <c r="CA277" s="78"/>
      <c r="CB277" s="78"/>
      <c r="CC277" s="78"/>
      <c r="CD277" s="78"/>
    </row>
    <row r="278">
      <c r="A278" s="10"/>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10"/>
      <c r="BV278" s="78"/>
      <c r="BW278" s="78"/>
      <c r="BX278" s="78"/>
      <c r="BY278" s="78"/>
      <c r="BZ278" s="78"/>
      <c r="CA278" s="78"/>
      <c r="CB278" s="78"/>
      <c r="CC278" s="78"/>
      <c r="CD278" s="78"/>
    </row>
    <row r="279">
      <c r="A279" s="10"/>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10"/>
      <c r="BV279" s="78"/>
      <c r="BW279" s="78"/>
      <c r="BX279" s="78"/>
      <c r="BY279" s="78"/>
      <c r="BZ279" s="78"/>
      <c r="CA279" s="78"/>
      <c r="CB279" s="78"/>
      <c r="CC279" s="78"/>
      <c r="CD279" s="78"/>
    </row>
    <row r="280">
      <c r="A280" s="10"/>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10"/>
      <c r="BV280" s="78"/>
      <c r="BW280" s="78"/>
      <c r="BX280" s="78"/>
      <c r="BY280" s="78"/>
      <c r="BZ280" s="78"/>
      <c r="CA280" s="78"/>
      <c r="CB280" s="78"/>
      <c r="CC280" s="78"/>
      <c r="CD280" s="78"/>
    </row>
    <row r="281">
      <c r="A281" s="10"/>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10"/>
      <c r="BV281" s="78"/>
      <c r="BW281" s="78"/>
      <c r="BX281" s="78"/>
      <c r="BY281" s="78"/>
      <c r="BZ281" s="78"/>
      <c r="CA281" s="78"/>
      <c r="CB281" s="78"/>
      <c r="CC281" s="78"/>
      <c r="CD281" s="78"/>
    </row>
    <row r="282">
      <c r="A282" s="10"/>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10"/>
      <c r="BV282" s="78"/>
      <c r="BW282" s="78"/>
      <c r="BX282" s="78"/>
      <c r="BY282" s="78"/>
      <c r="BZ282" s="78"/>
      <c r="CA282" s="78"/>
      <c r="CB282" s="78"/>
      <c r="CC282" s="78"/>
      <c r="CD282" s="78"/>
    </row>
    <row r="283">
      <c r="A283" s="10"/>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10"/>
      <c r="BV283" s="78"/>
      <c r="BW283" s="78"/>
      <c r="BX283" s="78"/>
      <c r="BY283" s="78"/>
      <c r="BZ283" s="78"/>
      <c r="CA283" s="78"/>
      <c r="CB283" s="78"/>
      <c r="CC283" s="78"/>
      <c r="CD283" s="78"/>
    </row>
    <row r="284">
      <c r="A284" s="10"/>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10"/>
      <c r="BV284" s="78"/>
      <c r="BW284" s="78"/>
      <c r="BX284" s="78"/>
      <c r="BY284" s="78"/>
      <c r="BZ284" s="78"/>
      <c r="CA284" s="78"/>
      <c r="CB284" s="78"/>
      <c r="CC284" s="78"/>
      <c r="CD284" s="78"/>
    </row>
    <row r="285">
      <c r="A285" s="10"/>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10"/>
      <c r="BV285" s="78"/>
      <c r="BW285" s="78"/>
      <c r="BX285" s="78"/>
      <c r="BY285" s="78"/>
      <c r="BZ285" s="78"/>
      <c r="CA285" s="78"/>
      <c r="CB285" s="78"/>
      <c r="CC285" s="78"/>
      <c r="CD285" s="78"/>
    </row>
    <row r="286">
      <c r="A286" s="10"/>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10"/>
      <c r="BV286" s="78"/>
      <c r="BW286" s="78"/>
      <c r="BX286" s="78"/>
      <c r="BY286" s="78"/>
      <c r="BZ286" s="78"/>
      <c r="CA286" s="78"/>
      <c r="CB286" s="78"/>
      <c r="CC286" s="78"/>
      <c r="CD286" s="78"/>
    </row>
    <row r="287">
      <c r="A287" s="10"/>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10"/>
      <c r="BV287" s="78"/>
      <c r="BW287" s="78"/>
      <c r="BX287" s="78"/>
      <c r="BY287" s="78"/>
      <c r="BZ287" s="78"/>
      <c r="CA287" s="78"/>
      <c r="CB287" s="78"/>
      <c r="CC287" s="78"/>
      <c r="CD287" s="78"/>
    </row>
    <row r="288">
      <c r="A288" s="10"/>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10"/>
      <c r="BV288" s="78"/>
      <c r="BW288" s="78"/>
      <c r="BX288" s="78"/>
      <c r="BY288" s="78"/>
      <c r="BZ288" s="78"/>
      <c r="CA288" s="78"/>
      <c r="CB288" s="78"/>
      <c r="CC288" s="78"/>
      <c r="CD288" s="78"/>
    </row>
    <row r="289">
      <c r="A289" s="10"/>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10"/>
      <c r="BV289" s="78"/>
      <c r="BW289" s="78"/>
      <c r="BX289" s="78"/>
      <c r="BY289" s="78"/>
      <c r="BZ289" s="78"/>
      <c r="CA289" s="78"/>
      <c r="CB289" s="78"/>
      <c r="CC289" s="78"/>
      <c r="CD289" s="78"/>
    </row>
    <row r="290">
      <c r="A290" s="10"/>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10"/>
      <c r="BV290" s="78"/>
      <c r="BW290" s="78"/>
      <c r="BX290" s="78"/>
      <c r="BY290" s="78"/>
      <c r="BZ290" s="78"/>
      <c r="CA290" s="78"/>
      <c r="CB290" s="78"/>
      <c r="CC290" s="78"/>
      <c r="CD290" s="78"/>
    </row>
    <row r="291">
      <c r="A291" s="10"/>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10"/>
      <c r="BV291" s="78"/>
      <c r="BW291" s="78"/>
      <c r="BX291" s="78"/>
      <c r="BY291" s="78"/>
      <c r="BZ291" s="78"/>
      <c r="CA291" s="78"/>
      <c r="CB291" s="78"/>
      <c r="CC291" s="78"/>
      <c r="CD291" s="78"/>
    </row>
    <row r="292">
      <c r="A292" s="10"/>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10"/>
      <c r="BV292" s="78"/>
      <c r="BW292" s="78"/>
      <c r="BX292" s="78"/>
      <c r="BY292" s="78"/>
      <c r="BZ292" s="78"/>
      <c r="CA292" s="78"/>
      <c r="CB292" s="78"/>
      <c r="CC292" s="78"/>
      <c r="CD292" s="78"/>
    </row>
    <row r="293">
      <c r="A293" s="10"/>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10"/>
      <c r="BV293" s="78"/>
      <c r="BW293" s="78"/>
      <c r="BX293" s="78"/>
      <c r="BY293" s="78"/>
      <c r="BZ293" s="78"/>
      <c r="CA293" s="78"/>
      <c r="CB293" s="78"/>
      <c r="CC293" s="78"/>
      <c r="CD293" s="78"/>
    </row>
    <row r="294">
      <c r="A294" s="10"/>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10"/>
      <c r="BV294" s="78"/>
      <c r="BW294" s="78"/>
      <c r="BX294" s="78"/>
      <c r="BY294" s="78"/>
      <c r="BZ294" s="78"/>
      <c r="CA294" s="78"/>
      <c r="CB294" s="78"/>
      <c r="CC294" s="78"/>
      <c r="CD294" s="78"/>
    </row>
    <row r="295">
      <c r="A295" s="10"/>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10"/>
      <c r="BV295" s="78"/>
      <c r="BW295" s="78"/>
      <c r="BX295" s="78"/>
      <c r="BY295" s="78"/>
      <c r="BZ295" s="78"/>
      <c r="CA295" s="78"/>
      <c r="CB295" s="78"/>
      <c r="CC295" s="78"/>
      <c r="CD295" s="78"/>
    </row>
    <row r="296">
      <c r="A296" s="10"/>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10"/>
      <c r="BV296" s="78"/>
      <c r="BW296" s="78"/>
      <c r="BX296" s="78"/>
      <c r="BY296" s="78"/>
      <c r="BZ296" s="78"/>
      <c r="CA296" s="78"/>
      <c r="CB296" s="78"/>
      <c r="CC296" s="78"/>
      <c r="CD296" s="78"/>
    </row>
    <row r="297">
      <c r="A297" s="10"/>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10"/>
      <c r="BV297" s="78"/>
      <c r="BW297" s="78"/>
      <c r="BX297" s="78"/>
      <c r="BY297" s="78"/>
      <c r="BZ297" s="78"/>
      <c r="CA297" s="78"/>
      <c r="CB297" s="78"/>
      <c r="CC297" s="78"/>
      <c r="CD297" s="78"/>
    </row>
    <row r="298">
      <c r="A298" s="10"/>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10"/>
      <c r="BV298" s="78"/>
      <c r="BW298" s="78"/>
      <c r="BX298" s="78"/>
      <c r="BY298" s="78"/>
      <c r="BZ298" s="78"/>
      <c r="CA298" s="78"/>
      <c r="CB298" s="78"/>
      <c r="CC298" s="78"/>
      <c r="CD298" s="78"/>
    </row>
    <row r="299">
      <c r="A299" s="10"/>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10"/>
      <c r="BV299" s="78"/>
      <c r="BW299" s="78"/>
      <c r="BX299" s="78"/>
      <c r="BY299" s="78"/>
      <c r="BZ299" s="78"/>
      <c r="CA299" s="78"/>
      <c r="CB299" s="78"/>
      <c r="CC299" s="78"/>
      <c r="CD299" s="78"/>
    </row>
    <row r="300">
      <c r="A300" s="10"/>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10"/>
      <c r="BV300" s="78"/>
      <c r="BW300" s="78"/>
      <c r="BX300" s="78"/>
      <c r="BY300" s="78"/>
      <c r="BZ300" s="78"/>
      <c r="CA300" s="78"/>
      <c r="CB300" s="78"/>
      <c r="CC300" s="78"/>
      <c r="CD300" s="78"/>
    </row>
    <row r="301">
      <c r="A301" s="10"/>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10"/>
      <c r="BV301" s="78"/>
      <c r="BW301" s="78"/>
      <c r="BX301" s="78"/>
      <c r="BY301" s="78"/>
      <c r="BZ301" s="78"/>
      <c r="CA301" s="78"/>
      <c r="CB301" s="78"/>
      <c r="CC301" s="78"/>
      <c r="CD301" s="78"/>
    </row>
    <row r="302">
      <c r="A302" s="10"/>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10"/>
      <c r="BV302" s="78"/>
      <c r="BW302" s="78"/>
      <c r="BX302" s="78"/>
      <c r="BY302" s="78"/>
      <c r="BZ302" s="78"/>
      <c r="CA302" s="78"/>
      <c r="CB302" s="78"/>
      <c r="CC302" s="78"/>
      <c r="CD302" s="78"/>
    </row>
    <row r="303">
      <c r="A303" s="10"/>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10"/>
      <c r="BV303" s="78"/>
      <c r="BW303" s="78"/>
      <c r="BX303" s="78"/>
      <c r="BY303" s="78"/>
      <c r="BZ303" s="78"/>
      <c r="CA303" s="78"/>
      <c r="CB303" s="78"/>
      <c r="CC303" s="78"/>
      <c r="CD303" s="78"/>
    </row>
    <row r="304">
      <c r="A304" s="10"/>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10"/>
      <c r="BV304" s="78"/>
      <c r="BW304" s="78"/>
      <c r="BX304" s="78"/>
      <c r="BY304" s="78"/>
      <c r="BZ304" s="78"/>
      <c r="CA304" s="78"/>
      <c r="CB304" s="78"/>
      <c r="CC304" s="78"/>
      <c r="CD304" s="78"/>
    </row>
    <row r="305">
      <c r="A305" s="10"/>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10"/>
      <c r="BV305" s="78"/>
      <c r="BW305" s="78"/>
      <c r="BX305" s="78"/>
      <c r="BY305" s="78"/>
      <c r="BZ305" s="78"/>
      <c r="CA305" s="78"/>
      <c r="CB305" s="78"/>
      <c r="CC305" s="78"/>
      <c r="CD305" s="78"/>
    </row>
    <row r="306">
      <c r="A306" s="10"/>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10"/>
      <c r="BV306" s="78"/>
      <c r="BW306" s="78"/>
      <c r="BX306" s="78"/>
      <c r="BY306" s="78"/>
      <c r="BZ306" s="78"/>
      <c r="CA306" s="78"/>
      <c r="CB306" s="78"/>
      <c r="CC306" s="78"/>
      <c r="CD306" s="78"/>
    </row>
    <row r="307">
      <c r="A307" s="10"/>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10"/>
      <c r="BV307" s="78"/>
      <c r="BW307" s="78"/>
      <c r="BX307" s="78"/>
      <c r="BY307" s="78"/>
      <c r="BZ307" s="78"/>
      <c r="CA307" s="78"/>
      <c r="CB307" s="78"/>
      <c r="CC307" s="78"/>
      <c r="CD307" s="78"/>
    </row>
    <row r="308">
      <c r="A308" s="10"/>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10"/>
      <c r="BV308" s="78"/>
      <c r="BW308" s="78"/>
      <c r="BX308" s="78"/>
      <c r="BY308" s="78"/>
      <c r="BZ308" s="78"/>
      <c r="CA308" s="78"/>
      <c r="CB308" s="78"/>
      <c r="CC308" s="78"/>
      <c r="CD308" s="78"/>
    </row>
    <row r="309">
      <c r="A309" s="10"/>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10"/>
      <c r="BV309" s="78"/>
      <c r="BW309" s="78"/>
      <c r="BX309" s="78"/>
      <c r="BY309" s="78"/>
      <c r="BZ309" s="78"/>
      <c r="CA309" s="78"/>
      <c r="CB309" s="78"/>
      <c r="CC309" s="78"/>
      <c r="CD309" s="78"/>
    </row>
    <row r="310">
      <c r="A310" s="10"/>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10"/>
      <c r="BV310" s="78"/>
      <c r="BW310" s="78"/>
      <c r="BX310" s="78"/>
      <c r="BY310" s="78"/>
      <c r="BZ310" s="78"/>
      <c r="CA310" s="78"/>
      <c r="CB310" s="78"/>
      <c r="CC310" s="78"/>
      <c r="CD310" s="78"/>
    </row>
    <row r="311">
      <c r="A311" s="10"/>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10"/>
      <c r="BV311" s="78"/>
      <c r="BW311" s="78"/>
      <c r="BX311" s="78"/>
      <c r="BY311" s="78"/>
      <c r="BZ311" s="78"/>
      <c r="CA311" s="78"/>
      <c r="CB311" s="78"/>
      <c r="CC311" s="78"/>
      <c r="CD311" s="78"/>
    </row>
    <row r="312">
      <c r="A312" s="10"/>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10"/>
      <c r="BV312" s="78"/>
      <c r="BW312" s="78"/>
      <c r="BX312" s="78"/>
      <c r="BY312" s="78"/>
      <c r="BZ312" s="78"/>
      <c r="CA312" s="78"/>
      <c r="CB312" s="78"/>
      <c r="CC312" s="78"/>
      <c r="CD312" s="78"/>
    </row>
    <row r="313">
      <c r="A313" s="10"/>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10"/>
      <c r="BV313" s="78"/>
      <c r="BW313" s="78"/>
      <c r="BX313" s="78"/>
      <c r="BY313" s="78"/>
      <c r="BZ313" s="78"/>
      <c r="CA313" s="78"/>
      <c r="CB313" s="78"/>
      <c r="CC313" s="78"/>
      <c r="CD313" s="78"/>
    </row>
    <row r="314">
      <c r="A314" s="10"/>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10"/>
      <c r="BV314" s="78"/>
      <c r="BW314" s="78"/>
      <c r="BX314" s="78"/>
      <c r="BY314" s="78"/>
      <c r="BZ314" s="78"/>
      <c r="CA314" s="78"/>
      <c r="CB314" s="78"/>
      <c r="CC314" s="78"/>
      <c r="CD314" s="78"/>
    </row>
    <row r="315">
      <c r="A315" s="10"/>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10"/>
      <c r="BV315" s="78"/>
      <c r="BW315" s="78"/>
      <c r="BX315" s="78"/>
      <c r="BY315" s="78"/>
      <c r="BZ315" s="78"/>
      <c r="CA315" s="78"/>
      <c r="CB315" s="78"/>
      <c r="CC315" s="78"/>
      <c r="CD315" s="78"/>
    </row>
    <row r="316">
      <c r="A316" s="10"/>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10"/>
      <c r="BV316" s="78"/>
      <c r="BW316" s="78"/>
      <c r="BX316" s="78"/>
      <c r="BY316" s="78"/>
      <c r="BZ316" s="78"/>
      <c r="CA316" s="78"/>
      <c r="CB316" s="78"/>
      <c r="CC316" s="78"/>
      <c r="CD316" s="78"/>
    </row>
    <row r="317">
      <c r="A317" s="10"/>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10"/>
      <c r="BV317" s="78"/>
      <c r="BW317" s="78"/>
      <c r="BX317" s="78"/>
      <c r="BY317" s="78"/>
      <c r="BZ317" s="78"/>
      <c r="CA317" s="78"/>
      <c r="CB317" s="78"/>
      <c r="CC317" s="78"/>
      <c r="CD317" s="78"/>
    </row>
    <row r="318">
      <c r="A318" s="10"/>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10"/>
      <c r="BV318" s="78"/>
      <c r="BW318" s="78"/>
      <c r="BX318" s="78"/>
      <c r="BY318" s="78"/>
      <c r="BZ318" s="78"/>
      <c r="CA318" s="78"/>
      <c r="CB318" s="78"/>
      <c r="CC318" s="78"/>
      <c r="CD318" s="78"/>
    </row>
    <row r="319">
      <c r="A319" s="10"/>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10"/>
      <c r="BV319" s="78"/>
      <c r="BW319" s="78"/>
      <c r="BX319" s="78"/>
      <c r="BY319" s="78"/>
      <c r="BZ319" s="78"/>
      <c r="CA319" s="78"/>
      <c r="CB319" s="78"/>
      <c r="CC319" s="78"/>
      <c r="CD319" s="78"/>
    </row>
    <row r="320">
      <c r="A320" s="10"/>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10"/>
      <c r="BV320" s="78"/>
      <c r="BW320" s="78"/>
      <c r="BX320" s="78"/>
      <c r="BY320" s="78"/>
      <c r="BZ320" s="78"/>
      <c r="CA320" s="78"/>
      <c r="CB320" s="78"/>
      <c r="CC320" s="78"/>
      <c r="CD320" s="78"/>
    </row>
    <row r="321">
      <c r="A321" s="10"/>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10"/>
      <c r="BV321" s="78"/>
      <c r="BW321" s="78"/>
      <c r="BX321" s="78"/>
      <c r="BY321" s="78"/>
      <c r="BZ321" s="78"/>
      <c r="CA321" s="78"/>
      <c r="CB321" s="78"/>
      <c r="CC321" s="78"/>
      <c r="CD321" s="78"/>
    </row>
    <row r="322">
      <c r="A322" s="10"/>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10"/>
      <c r="BV322" s="78"/>
      <c r="BW322" s="78"/>
      <c r="BX322" s="78"/>
      <c r="BY322" s="78"/>
      <c r="BZ322" s="78"/>
      <c r="CA322" s="78"/>
      <c r="CB322" s="78"/>
      <c r="CC322" s="78"/>
      <c r="CD322" s="78"/>
    </row>
    <row r="323">
      <c r="A323" s="10"/>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10"/>
      <c r="BV323" s="78"/>
      <c r="BW323" s="78"/>
      <c r="BX323" s="78"/>
      <c r="BY323" s="78"/>
      <c r="BZ323" s="78"/>
      <c r="CA323" s="78"/>
      <c r="CB323" s="78"/>
      <c r="CC323" s="78"/>
      <c r="CD323" s="78"/>
    </row>
    <row r="324">
      <c r="A324" s="10"/>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10"/>
      <c r="BV324" s="78"/>
      <c r="BW324" s="78"/>
      <c r="BX324" s="78"/>
      <c r="BY324" s="78"/>
      <c r="BZ324" s="78"/>
      <c r="CA324" s="78"/>
      <c r="CB324" s="78"/>
      <c r="CC324" s="78"/>
      <c r="CD324" s="78"/>
    </row>
    <row r="325">
      <c r="A325" s="10"/>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10"/>
      <c r="BV325" s="78"/>
      <c r="BW325" s="78"/>
      <c r="BX325" s="78"/>
      <c r="BY325" s="78"/>
      <c r="BZ325" s="78"/>
      <c r="CA325" s="78"/>
      <c r="CB325" s="78"/>
      <c r="CC325" s="78"/>
      <c r="CD325" s="78"/>
    </row>
    <row r="326">
      <c r="A326" s="10"/>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10"/>
      <c r="BV326" s="78"/>
      <c r="BW326" s="78"/>
      <c r="BX326" s="78"/>
      <c r="BY326" s="78"/>
      <c r="BZ326" s="78"/>
      <c r="CA326" s="78"/>
      <c r="CB326" s="78"/>
      <c r="CC326" s="78"/>
      <c r="CD326" s="78"/>
    </row>
    <row r="327">
      <c r="A327" s="10"/>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10"/>
      <c r="BV327" s="78"/>
      <c r="BW327" s="78"/>
      <c r="BX327" s="78"/>
      <c r="BY327" s="78"/>
      <c r="BZ327" s="78"/>
      <c r="CA327" s="78"/>
      <c r="CB327" s="78"/>
      <c r="CC327" s="78"/>
      <c r="CD327" s="78"/>
    </row>
    <row r="328">
      <c r="A328" s="10"/>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10"/>
      <c r="BV328" s="78"/>
      <c r="BW328" s="78"/>
      <c r="BX328" s="78"/>
      <c r="BY328" s="78"/>
      <c r="BZ328" s="78"/>
      <c r="CA328" s="78"/>
      <c r="CB328" s="78"/>
      <c r="CC328" s="78"/>
      <c r="CD328" s="78"/>
    </row>
    <row r="329">
      <c r="A329" s="10"/>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10"/>
      <c r="BV329" s="78"/>
      <c r="BW329" s="78"/>
      <c r="BX329" s="78"/>
      <c r="BY329" s="78"/>
      <c r="BZ329" s="78"/>
      <c r="CA329" s="78"/>
      <c r="CB329" s="78"/>
      <c r="CC329" s="78"/>
      <c r="CD329" s="78"/>
    </row>
    <row r="330">
      <c r="A330" s="10"/>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10"/>
      <c r="BV330" s="78"/>
      <c r="BW330" s="78"/>
      <c r="BX330" s="78"/>
      <c r="BY330" s="78"/>
      <c r="BZ330" s="78"/>
      <c r="CA330" s="78"/>
      <c r="CB330" s="78"/>
      <c r="CC330" s="78"/>
      <c r="CD330" s="78"/>
    </row>
    <row r="331">
      <c r="A331" s="10"/>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10"/>
      <c r="BV331" s="78"/>
      <c r="BW331" s="78"/>
      <c r="BX331" s="78"/>
      <c r="BY331" s="78"/>
      <c r="BZ331" s="78"/>
      <c r="CA331" s="78"/>
      <c r="CB331" s="78"/>
      <c r="CC331" s="78"/>
      <c r="CD331" s="78"/>
    </row>
    <row r="332">
      <c r="A332" s="10"/>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10"/>
      <c r="BV332" s="78"/>
      <c r="BW332" s="78"/>
      <c r="BX332" s="78"/>
      <c r="BY332" s="78"/>
      <c r="BZ332" s="78"/>
      <c r="CA332" s="78"/>
      <c r="CB332" s="78"/>
      <c r="CC332" s="78"/>
      <c r="CD332" s="78"/>
    </row>
    <row r="333">
      <c r="A333" s="10"/>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10"/>
      <c r="BV333" s="78"/>
      <c r="BW333" s="78"/>
      <c r="BX333" s="78"/>
      <c r="BY333" s="78"/>
      <c r="BZ333" s="78"/>
      <c r="CA333" s="78"/>
      <c r="CB333" s="78"/>
      <c r="CC333" s="78"/>
      <c r="CD333" s="78"/>
    </row>
    <row r="334">
      <c r="A334" s="10"/>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10"/>
      <c r="BV334" s="78"/>
      <c r="BW334" s="78"/>
      <c r="BX334" s="78"/>
      <c r="BY334" s="78"/>
      <c r="BZ334" s="78"/>
      <c r="CA334" s="78"/>
      <c r="CB334" s="78"/>
      <c r="CC334" s="78"/>
      <c r="CD334" s="78"/>
    </row>
    <row r="335">
      <c r="A335" s="10"/>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10"/>
      <c r="BV335" s="78"/>
      <c r="BW335" s="78"/>
      <c r="BX335" s="78"/>
      <c r="BY335" s="78"/>
      <c r="BZ335" s="78"/>
      <c r="CA335" s="78"/>
      <c r="CB335" s="78"/>
      <c r="CC335" s="78"/>
      <c r="CD335" s="78"/>
    </row>
    <row r="336">
      <c r="A336" s="10"/>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10"/>
      <c r="BV336" s="78"/>
      <c r="BW336" s="78"/>
      <c r="BX336" s="78"/>
      <c r="BY336" s="78"/>
      <c r="BZ336" s="78"/>
      <c r="CA336" s="78"/>
      <c r="CB336" s="78"/>
      <c r="CC336" s="78"/>
      <c r="CD336" s="78"/>
    </row>
    <row r="337">
      <c r="A337" s="10"/>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10"/>
      <c r="BV337" s="78"/>
      <c r="BW337" s="78"/>
      <c r="BX337" s="78"/>
      <c r="BY337" s="78"/>
      <c r="BZ337" s="78"/>
      <c r="CA337" s="78"/>
      <c r="CB337" s="78"/>
      <c r="CC337" s="78"/>
      <c r="CD337" s="78"/>
    </row>
    <row r="338">
      <c r="A338" s="10"/>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10"/>
      <c r="BV338" s="78"/>
      <c r="BW338" s="78"/>
      <c r="BX338" s="78"/>
      <c r="BY338" s="78"/>
      <c r="BZ338" s="78"/>
      <c r="CA338" s="78"/>
      <c r="CB338" s="78"/>
      <c r="CC338" s="78"/>
      <c r="CD338" s="78"/>
    </row>
    <row r="339">
      <c r="A339" s="10"/>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10"/>
      <c r="BV339" s="78"/>
      <c r="BW339" s="78"/>
      <c r="BX339" s="78"/>
      <c r="BY339" s="78"/>
      <c r="BZ339" s="78"/>
      <c r="CA339" s="78"/>
      <c r="CB339" s="78"/>
      <c r="CC339" s="78"/>
      <c r="CD339" s="78"/>
    </row>
    <row r="340">
      <c r="A340" s="10"/>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10"/>
      <c r="BV340" s="78"/>
      <c r="BW340" s="78"/>
      <c r="BX340" s="78"/>
      <c r="BY340" s="78"/>
      <c r="BZ340" s="78"/>
      <c r="CA340" s="78"/>
      <c r="CB340" s="78"/>
      <c r="CC340" s="78"/>
      <c r="CD340" s="78"/>
    </row>
    <row r="341">
      <c r="A341" s="10"/>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10"/>
      <c r="BV341" s="78"/>
      <c r="BW341" s="78"/>
      <c r="BX341" s="78"/>
      <c r="BY341" s="78"/>
      <c r="BZ341" s="78"/>
      <c r="CA341" s="78"/>
      <c r="CB341" s="78"/>
      <c r="CC341" s="78"/>
      <c r="CD341" s="78"/>
    </row>
    <row r="342">
      <c r="A342" s="10"/>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10"/>
      <c r="BV342" s="78"/>
      <c r="BW342" s="78"/>
      <c r="BX342" s="78"/>
      <c r="BY342" s="78"/>
      <c r="BZ342" s="78"/>
      <c r="CA342" s="78"/>
      <c r="CB342" s="78"/>
      <c r="CC342" s="78"/>
      <c r="CD342" s="78"/>
    </row>
    <row r="343">
      <c r="A343" s="10"/>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10"/>
      <c r="BV343" s="78"/>
      <c r="BW343" s="78"/>
      <c r="BX343" s="78"/>
      <c r="BY343" s="78"/>
      <c r="BZ343" s="78"/>
      <c r="CA343" s="78"/>
      <c r="CB343" s="78"/>
      <c r="CC343" s="78"/>
      <c r="CD343" s="78"/>
    </row>
    <row r="344">
      <c r="A344" s="10"/>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10"/>
      <c r="BV344" s="78"/>
      <c r="BW344" s="78"/>
      <c r="BX344" s="78"/>
      <c r="BY344" s="78"/>
      <c r="BZ344" s="78"/>
      <c r="CA344" s="78"/>
      <c r="CB344" s="78"/>
      <c r="CC344" s="78"/>
      <c r="CD344" s="78"/>
    </row>
    <row r="345">
      <c r="A345" s="10"/>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10"/>
      <c r="BV345" s="78"/>
      <c r="BW345" s="78"/>
      <c r="BX345" s="78"/>
      <c r="BY345" s="78"/>
      <c r="BZ345" s="78"/>
      <c r="CA345" s="78"/>
      <c r="CB345" s="78"/>
      <c r="CC345" s="78"/>
      <c r="CD345" s="78"/>
    </row>
    <row r="346">
      <c r="A346" s="10"/>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10"/>
      <c r="BV346" s="78"/>
      <c r="BW346" s="78"/>
      <c r="BX346" s="78"/>
      <c r="BY346" s="78"/>
      <c r="BZ346" s="78"/>
      <c r="CA346" s="78"/>
      <c r="CB346" s="78"/>
      <c r="CC346" s="78"/>
      <c r="CD346" s="78"/>
    </row>
    <row r="347">
      <c r="A347" s="10"/>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10"/>
      <c r="BV347" s="78"/>
      <c r="BW347" s="78"/>
      <c r="BX347" s="78"/>
      <c r="BY347" s="78"/>
      <c r="BZ347" s="78"/>
      <c r="CA347" s="78"/>
      <c r="CB347" s="78"/>
      <c r="CC347" s="78"/>
      <c r="CD347" s="78"/>
    </row>
    <row r="348">
      <c r="A348" s="10"/>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10"/>
      <c r="BV348" s="78"/>
      <c r="BW348" s="78"/>
      <c r="BX348" s="78"/>
      <c r="BY348" s="78"/>
      <c r="BZ348" s="78"/>
      <c r="CA348" s="78"/>
      <c r="CB348" s="78"/>
      <c r="CC348" s="78"/>
      <c r="CD348" s="78"/>
    </row>
    <row r="349">
      <c r="A349" s="10"/>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10"/>
      <c r="BV349" s="78"/>
      <c r="BW349" s="78"/>
      <c r="BX349" s="78"/>
      <c r="BY349" s="78"/>
      <c r="BZ349" s="78"/>
      <c r="CA349" s="78"/>
      <c r="CB349" s="78"/>
      <c r="CC349" s="78"/>
      <c r="CD349" s="78"/>
    </row>
    <row r="350">
      <c r="A350" s="10"/>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10"/>
      <c r="BV350" s="78"/>
      <c r="BW350" s="78"/>
      <c r="BX350" s="78"/>
      <c r="BY350" s="78"/>
      <c r="BZ350" s="78"/>
      <c r="CA350" s="78"/>
      <c r="CB350" s="78"/>
      <c r="CC350" s="78"/>
      <c r="CD350" s="78"/>
    </row>
    <row r="351">
      <c r="A351" s="10"/>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10"/>
      <c r="BV351" s="78"/>
      <c r="BW351" s="78"/>
      <c r="BX351" s="78"/>
      <c r="BY351" s="78"/>
      <c r="BZ351" s="78"/>
      <c r="CA351" s="78"/>
      <c r="CB351" s="78"/>
      <c r="CC351" s="78"/>
      <c r="CD351" s="78"/>
    </row>
    <row r="352">
      <c r="A352" s="10"/>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10"/>
      <c r="BV352" s="78"/>
      <c r="BW352" s="78"/>
      <c r="BX352" s="78"/>
      <c r="BY352" s="78"/>
      <c r="BZ352" s="78"/>
      <c r="CA352" s="78"/>
      <c r="CB352" s="78"/>
      <c r="CC352" s="78"/>
      <c r="CD352" s="78"/>
    </row>
    <row r="353">
      <c r="A353" s="10"/>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10"/>
      <c r="BV353" s="78"/>
      <c r="BW353" s="78"/>
      <c r="BX353" s="78"/>
      <c r="BY353" s="78"/>
      <c r="BZ353" s="78"/>
      <c r="CA353" s="78"/>
      <c r="CB353" s="78"/>
      <c r="CC353" s="78"/>
      <c r="CD353" s="78"/>
    </row>
    <row r="354">
      <c r="A354" s="10"/>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10"/>
      <c r="BV354" s="78"/>
      <c r="BW354" s="78"/>
      <c r="BX354" s="78"/>
      <c r="BY354" s="78"/>
      <c r="BZ354" s="78"/>
      <c r="CA354" s="78"/>
      <c r="CB354" s="78"/>
      <c r="CC354" s="78"/>
      <c r="CD354" s="78"/>
    </row>
    <row r="355">
      <c r="A355" s="10"/>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10"/>
      <c r="BV355" s="78"/>
      <c r="BW355" s="78"/>
      <c r="BX355" s="78"/>
      <c r="BY355" s="78"/>
      <c r="BZ355" s="78"/>
      <c r="CA355" s="78"/>
      <c r="CB355" s="78"/>
      <c r="CC355" s="78"/>
      <c r="CD355" s="78"/>
    </row>
    <row r="356">
      <c r="A356" s="10"/>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10"/>
      <c r="BV356" s="78"/>
      <c r="BW356" s="78"/>
      <c r="BX356" s="78"/>
      <c r="BY356" s="78"/>
      <c r="BZ356" s="78"/>
      <c r="CA356" s="78"/>
      <c r="CB356" s="78"/>
      <c r="CC356" s="78"/>
      <c r="CD356" s="78"/>
    </row>
    <row r="357">
      <c r="A357" s="10"/>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10"/>
      <c r="BV357" s="78"/>
      <c r="BW357" s="78"/>
      <c r="BX357" s="78"/>
      <c r="BY357" s="78"/>
      <c r="BZ357" s="78"/>
      <c r="CA357" s="78"/>
      <c r="CB357" s="78"/>
      <c r="CC357" s="78"/>
      <c r="CD357" s="78"/>
    </row>
    <row r="358">
      <c r="A358" s="10"/>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10"/>
      <c r="BV358" s="78"/>
      <c r="BW358" s="78"/>
      <c r="BX358" s="78"/>
      <c r="BY358" s="78"/>
      <c r="BZ358" s="78"/>
      <c r="CA358" s="78"/>
      <c r="CB358" s="78"/>
      <c r="CC358" s="78"/>
      <c r="CD358" s="78"/>
    </row>
    <row r="359">
      <c r="A359" s="10"/>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10"/>
      <c r="BV359" s="78"/>
      <c r="BW359" s="78"/>
      <c r="BX359" s="78"/>
      <c r="BY359" s="78"/>
      <c r="BZ359" s="78"/>
      <c r="CA359" s="78"/>
      <c r="CB359" s="78"/>
      <c r="CC359" s="78"/>
      <c r="CD359" s="78"/>
    </row>
    <row r="360">
      <c r="A360" s="10"/>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10"/>
      <c r="BV360" s="78"/>
      <c r="BW360" s="78"/>
      <c r="BX360" s="78"/>
      <c r="BY360" s="78"/>
      <c r="BZ360" s="78"/>
      <c r="CA360" s="78"/>
      <c r="CB360" s="78"/>
      <c r="CC360" s="78"/>
      <c r="CD360" s="78"/>
    </row>
    <row r="361">
      <c r="A361" s="10"/>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10"/>
      <c r="BV361" s="78"/>
      <c r="BW361" s="78"/>
      <c r="BX361" s="78"/>
      <c r="BY361" s="78"/>
      <c r="BZ361" s="78"/>
      <c r="CA361" s="78"/>
      <c r="CB361" s="78"/>
      <c r="CC361" s="78"/>
      <c r="CD361" s="78"/>
    </row>
    <row r="362">
      <c r="A362" s="10"/>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10"/>
      <c r="BV362" s="78"/>
      <c r="BW362" s="78"/>
      <c r="BX362" s="78"/>
      <c r="BY362" s="78"/>
      <c r="BZ362" s="78"/>
      <c r="CA362" s="78"/>
      <c r="CB362" s="78"/>
      <c r="CC362" s="78"/>
      <c r="CD362" s="78"/>
    </row>
    <row r="363">
      <c r="A363" s="10"/>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10"/>
      <c r="BV363" s="78"/>
      <c r="BW363" s="78"/>
      <c r="BX363" s="78"/>
      <c r="BY363" s="78"/>
      <c r="BZ363" s="78"/>
      <c r="CA363" s="78"/>
      <c r="CB363" s="78"/>
      <c r="CC363" s="78"/>
      <c r="CD363" s="78"/>
    </row>
    <row r="364">
      <c r="A364" s="10"/>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10"/>
      <c r="BV364" s="78"/>
      <c r="BW364" s="78"/>
      <c r="BX364" s="78"/>
      <c r="BY364" s="78"/>
      <c r="BZ364" s="78"/>
      <c r="CA364" s="78"/>
      <c r="CB364" s="78"/>
      <c r="CC364" s="78"/>
      <c r="CD364" s="78"/>
    </row>
    <row r="365">
      <c r="A365" s="10"/>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10"/>
      <c r="BV365" s="78"/>
      <c r="BW365" s="78"/>
      <c r="BX365" s="78"/>
      <c r="BY365" s="78"/>
      <c r="BZ365" s="78"/>
      <c r="CA365" s="78"/>
      <c r="CB365" s="78"/>
      <c r="CC365" s="78"/>
      <c r="CD365" s="78"/>
    </row>
    <row r="366">
      <c r="A366" s="10"/>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10"/>
      <c r="BV366" s="78"/>
      <c r="BW366" s="78"/>
      <c r="BX366" s="78"/>
      <c r="BY366" s="78"/>
      <c r="BZ366" s="78"/>
      <c r="CA366" s="78"/>
      <c r="CB366" s="78"/>
      <c r="CC366" s="78"/>
      <c r="CD366" s="78"/>
    </row>
    <row r="367">
      <c r="A367" s="10"/>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10"/>
      <c r="BV367" s="78"/>
      <c r="BW367" s="78"/>
      <c r="BX367" s="78"/>
      <c r="BY367" s="78"/>
      <c r="BZ367" s="78"/>
      <c r="CA367" s="78"/>
      <c r="CB367" s="78"/>
      <c r="CC367" s="78"/>
      <c r="CD367" s="78"/>
    </row>
    <row r="368">
      <c r="A368" s="10"/>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10"/>
      <c r="BV368" s="78"/>
      <c r="BW368" s="78"/>
      <c r="BX368" s="78"/>
      <c r="BY368" s="78"/>
      <c r="BZ368" s="78"/>
      <c r="CA368" s="78"/>
      <c r="CB368" s="78"/>
      <c r="CC368" s="78"/>
      <c r="CD368" s="78"/>
    </row>
    <row r="369">
      <c r="A369" s="10"/>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10"/>
      <c r="BV369" s="78"/>
      <c r="BW369" s="78"/>
      <c r="BX369" s="78"/>
      <c r="BY369" s="78"/>
      <c r="BZ369" s="78"/>
      <c r="CA369" s="78"/>
      <c r="CB369" s="78"/>
      <c r="CC369" s="78"/>
      <c r="CD369" s="78"/>
    </row>
    <row r="370">
      <c r="A370" s="10"/>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10"/>
      <c r="BV370" s="78"/>
      <c r="BW370" s="78"/>
      <c r="BX370" s="78"/>
      <c r="BY370" s="78"/>
      <c r="BZ370" s="78"/>
      <c r="CA370" s="78"/>
      <c r="CB370" s="78"/>
      <c r="CC370" s="78"/>
      <c r="CD370" s="78"/>
    </row>
    <row r="371">
      <c r="A371" s="10"/>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10"/>
      <c r="BV371" s="78"/>
      <c r="BW371" s="78"/>
      <c r="BX371" s="78"/>
      <c r="BY371" s="78"/>
      <c r="BZ371" s="78"/>
      <c r="CA371" s="78"/>
      <c r="CB371" s="78"/>
      <c r="CC371" s="78"/>
      <c r="CD371" s="78"/>
    </row>
    <row r="372">
      <c r="A372" s="10"/>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10"/>
      <c r="BV372" s="78"/>
      <c r="BW372" s="78"/>
      <c r="BX372" s="78"/>
      <c r="BY372" s="78"/>
      <c r="BZ372" s="78"/>
      <c r="CA372" s="78"/>
      <c r="CB372" s="78"/>
      <c r="CC372" s="78"/>
      <c r="CD372" s="78"/>
    </row>
    <row r="373">
      <c r="A373" s="10"/>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10"/>
      <c r="BV373" s="78"/>
      <c r="BW373" s="78"/>
      <c r="BX373" s="78"/>
      <c r="BY373" s="78"/>
      <c r="BZ373" s="78"/>
      <c r="CA373" s="78"/>
      <c r="CB373" s="78"/>
      <c r="CC373" s="78"/>
      <c r="CD373" s="78"/>
    </row>
    <row r="374">
      <c r="A374" s="10"/>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10"/>
      <c r="BV374" s="78"/>
      <c r="BW374" s="78"/>
      <c r="BX374" s="78"/>
      <c r="BY374" s="78"/>
      <c r="BZ374" s="78"/>
      <c r="CA374" s="78"/>
      <c r="CB374" s="78"/>
      <c r="CC374" s="78"/>
      <c r="CD374" s="78"/>
    </row>
    <row r="375">
      <c r="A375" s="10"/>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10"/>
      <c r="BV375" s="78"/>
      <c r="BW375" s="78"/>
      <c r="BX375" s="78"/>
      <c r="BY375" s="78"/>
      <c r="BZ375" s="78"/>
      <c r="CA375" s="78"/>
      <c r="CB375" s="78"/>
      <c r="CC375" s="78"/>
      <c r="CD375" s="78"/>
    </row>
    <row r="376">
      <c r="A376" s="10"/>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10"/>
      <c r="BV376" s="78"/>
      <c r="BW376" s="78"/>
      <c r="BX376" s="78"/>
      <c r="BY376" s="78"/>
      <c r="BZ376" s="78"/>
      <c r="CA376" s="78"/>
      <c r="CB376" s="78"/>
      <c r="CC376" s="78"/>
      <c r="CD376" s="78"/>
    </row>
    <row r="377">
      <c r="A377" s="10"/>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10"/>
      <c r="BV377" s="78"/>
      <c r="BW377" s="78"/>
      <c r="BX377" s="78"/>
      <c r="BY377" s="78"/>
      <c r="BZ377" s="78"/>
      <c r="CA377" s="78"/>
      <c r="CB377" s="78"/>
      <c r="CC377" s="78"/>
      <c r="CD377" s="78"/>
    </row>
    <row r="378">
      <c r="A378" s="10"/>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10"/>
      <c r="BV378" s="78"/>
      <c r="BW378" s="78"/>
      <c r="BX378" s="78"/>
      <c r="BY378" s="78"/>
      <c r="BZ378" s="78"/>
      <c r="CA378" s="78"/>
      <c r="CB378" s="78"/>
      <c r="CC378" s="78"/>
      <c r="CD378" s="78"/>
    </row>
    <row r="379">
      <c r="A379" s="10"/>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10"/>
      <c r="BV379" s="78"/>
      <c r="BW379" s="78"/>
      <c r="BX379" s="78"/>
      <c r="BY379" s="78"/>
      <c r="BZ379" s="78"/>
      <c r="CA379" s="78"/>
      <c r="CB379" s="78"/>
      <c r="CC379" s="78"/>
      <c r="CD379" s="78"/>
    </row>
    <row r="380">
      <c r="A380" s="10"/>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10"/>
      <c r="BV380" s="78"/>
      <c r="BW380" s="78"/>
      <c r="BX380" s="78"/>
      <c r="BY380" s="78"/>
      <c r="BZ380" s="78"/>
      <c r="CA380" s="78"/>
      <c r="CB380" s="78"/>
      <c r="CC380" s="78"/>
      <c r="CD380" s="78"/>
    </row>
    <row r="381">
      <c r="A381" s="10"/>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10"/>
      <c r="BV381" s="78"/>
      <c r="BW381" s="78"/>
      <c r="BX381" s="78"/>
      <c r="BY381" s="78"/>
      <c r="BZ381" s="78"/>
      <c r="CA381" s="78"/>
      <c r="CB381" s="78"/>
      <c r="CC381" s="78"/>
      <c r="CD381" s="78"/>
    </row>
    <row r="382">
      <c r="A382" s="10"/>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10"/>
      <c r="BV382" s="78"/>
      <c r="BW382" s="78"/>
      <c r="BX382" s="78"/>
      <c r="BY382" s="78"/>
      <c r="BZ382" s="78"/>
      <c r="CA382" s="78"/>
      <c r="CB382" s="78"/>
      <c r="CC382" s="78"/>
      <c r="CD382" s="78"/>
    </row>
    <row r="383">
      <c r="A383" s="10"/>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10"/>
      <c r="BV383" s="78"/>
      <c r="BW383" s="78"/>
      <c r="BX383" s="78"/>
      <c r="BY383" s="78"/>
      <c r="BZ383" s="78"/>
      <c r="CA383" s="78"/>
      <c r="CB383" s="78"/>
      <c r="CC383" s="78"/>
      <c r="CD383" s="78"/>
    </row>
    <row r="384">
      <c r="A384" s="10"/>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10"/>
      <c r="BV384" s="78"/>
      <c r="BW384" s="78"/>
      <c r="BX384" s="78"/>
      <c r="BY384" s="78"/>
      <c r="BZ384" s="78"/>
      <c r="CA384" s="78"/>
      <c r="CB384" s="78"/>
      <c r="CC384" s="78"/>
      <c r="CD384" s="78"/>
    </row>
    <row r="385">
      <c r="A385" s="10"/>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10"/>
      <c r="BV385" s="78"/>
      <c r="BW385" s="78"/>
      <c r="BX385" s="78"/>
      <c r="BY385" s="78"/>
      <c r="BZ385" s="78"/>
      <c r="CA385" s="78"/>
      <c r="CB385" s="78"/>
      <c r="CC385" s="78"/>
      <c r="CD385" s="78"/>
    </row>
    <row r="386">
      <c r="A386" s="10"/>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10"/>
      <c r="BV386" s="78"/>
      <c r="BW386" s="78"/>
      <c r="BX386" s="78"/>
      <c r="BY386" s="78"/>
      <c r="BZ386" s="78"/>
      <c r="CA386" s="78"/>
      <c r="CB386" s="78"/>
      <c r="CC386" s="78"/>
      <c r="CD386" s="78"/>
    </row>
    <row r="387">
      <c r="A387" s="10"/>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10"/>
      <c r="BV387" s="78"/>
      <c r="BW387" s="78"/>
      <c r="BX387" s="78"/>
      <c r="BY387" s="78"/>
      <c r="BZ387" s="78"/>
      <c r="CA387" s="78"/>
      <c r="CB387" s="78"/>
      <c r="CC387" s="78"/>
      <c r="CD387" s="78"/>
    </row>
    <row r="388">
      <c r="A388" s="10"/>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10"/>
      <c r="BV388" s="78"/>
      <c r="BW388" s="78"/>
      <c r="BX388" s="78"/>
      <c r="BY388" s="78"/>
      <c r="BZ388" s="78"/>
      <c r="CA388" s="78"/>
      <c r="CB388" s="78"/>
      <c r="CC388" s="78"/>
      <c r="CD388" s="78"/>
    </row>
    <row r="389">
      <c r="A389" s="10"/>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10"/>
      <c r="BV389" s="78"/>
      <c r="BW389" s="78"/>
      <c r="BX389" s="78"/>
      <c r="BY389" s="78"/>
      <c r="BZ389" s="78"/>
      <c r="CA389" s="78"/>
      <c r="CB389" s="78"/>
      <c r="CC389" s="78"/>
      <c r="CD389" s="78"/>
    </row>
    <row r="390">
      <c r="A390" s="10"/>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10"/>
      <c r="BV390" s="78"/>
      <c r="BW390" s="78"/>
      <c r="BX390" s="78"/>
      <c r="BY390" s="78"/>
      <c r="BZ390" s="78"/>
      <c r="CA390" s="78"/>
      <c r="CB390" s="78"/>
      <c r="CC390" s="78"/>
      <c r="CD390" s="78"/>
    </row>
    <row r="391">
      <c r="A391" s="10"/>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10"/>
      <c r="BV391" s="78"/>
      <c r="BW391" s="78"/>
      <c r="BX391" s="78"/>
      <c r="BY391" s="78"/>
      <c r="BZ391" s="78"/>
      <c r="CA391" s="78"/>
      <c r="CB391" s="78"/>
      <c r="CC391" s="78"/>
      <c r="CD391" s="78"/>
    </row>
    <row r="392">
      <c r="A392" s="10"/>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10"/>
      <c r="BV392" s="78"/>
      <c r="BW392" s="78"/>
      <c r="BX392" s="78"/>
      <c r="BY392" s="78"/>
      <c r="BZ392" s="78"/>
      <c r="CA392" s="78"/>
      <c r="CB392" s="78"/>
      <c r="CC392" s="78"/>
      <c r="CD392" s="78"/>
    </row>
    <row r="393">
      <c r="A393" s="10"/>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10"/>
      <c r="BV393" s="78"/>
      <c r="BW393" s="78"/>
      <c r="BX393" s="78"/>
      <c r="BY393" s="78"/>
      <c r="BZ393" s="78"/>
      <c r="CA393" s="78"/>
      <c r="CB393" s="78"/>
      <c r="CC393" s="78"/>
      <c r="CD393" s="78"/>
    </row>
    <row r="394">
      <c r="A394" s="10"/>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10"/>
      <c r="BV394" s="78"/>
      <c r="BW394" s="78"/>
      <c r="BX394" s="78"/>
      <c r="BY394" s="78"/>
      <c r="BZ394" s="78"/>
      <c r="CA394" s="78"/>
      <c r="CB394" s="78"/>
      <c r="CC394" s="78"/>
      <c r="CD394" s="78"/>
    </row>
    <row r="395">
      <c r="A395" s="10"/>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10"/>
      <c r="BV395" s="78"/>
      <c r="BW395" s="78"/>
      <c r="BX395" s="78"/>
      <c r="BY395" s="78"/>
      <c r="BZ395" s="78"/>
      <c r="CA395" s="78"/>
      <c r="CB395" s="78"/>
      <c r="CC395" s="78"/>
      <c r="CD395" s="78"/>
    </row>
    <row r="396">
      <c r="A396" s="10"/>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10"/>
      <c r="BV396" s="78"/>
      <c r="BW396" s="78"/>
      <c r="BX396" s="78"/>
      <c r="BY396" s="78"/>
      <c r="BZ396" s="78"/>
      <c r="CA396" s="78"/>
      <c r="CB396" s="78"/>
      <c r="CC396" s="78"/>
      <c r="CD396" s="78"/>
    </row>
    <row r="397">
      <c r="A397" s="10"/>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10"/>
      <c r="BV397" s="78"/>
      <c r="BW397" s="78"/>
      <c r="BX397" s="78"/>
      <c r="BY397" s="78"/>
      <c r="BZ397" s="78"/>
      <c r="CA397" s="78"/>
      <c r="CB397" s="78"/>
      <c r="CC397" s="78"/>
      <c r="CD397" s="78"/>
    </row>
    <row r="398">
      <c r="A398" s="10"/>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10"/>
      <c r="BV398" s="78"/>
      <c r="BW398" s="78"/>
      <c r="BX398" s="78"/>
      <c r="BY398" s="78"/>
      <c r="BZ398" s="78"/>
      <c r="CA398" s="78"/>
      <c r="CB398" s="78"/>
      <c r="CC398" s="78"/>
      <c r="CD398" s="78"/>
    </row>
    <row r="399">
      <c r="A399" s="10"/>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10"/>
      <c r="BV399" s="78"/>
      <c r="BW399" s="78"/>
      <c r="BX399" s="78"/>
      <c r="BY399" s="78"/>
      <c r="BZ399" s="78"/>
      <c r="CA399" s="78"/>
      <c r="CB399" s="78"/>
      <c r="CC399" s="78"/>
      <c r="CD399" s="78"/>
    </row>
    <row r="400">
      <c r="A400" s="10"/>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10"/>
      <c r="BV400" s="78"/>
      <c r="BW400" s="78"/>
      <c r="BX400" s="78"/>
      <c r="BY400" s="78"/>
      <c r="BZ400" s="78"/>
      <c r="CA400" s="78"/>
      <c r="CB400" s="78"/>
      <c r="CC400" s="78"/>
      <c r="CD400" s="78"/>
    </row>
    <row r="401">
      <c r="A401" s="10"/>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10"/>
      <c r="BV401" s="78"/>
      <c r="BW401" s="78"/>
      <c r="BX401" s="78"/>
      <c r="BY401" s="78"/>
      <c r="BZ401" s="78"/>
      <c r="CA401" s="78"/>
      <c r="CB401" s="78"/>
      <c r="CC401" s="78"/>
      <c r="CD401" s="78"/>
    </row>
    <row r="402">
      <c r="A402" s="10"/>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10"/>
      <c r="BV402" s="78"/>
      <c r="BW402" s="78"/>
      <c r="BX402" s="78"/>
      <c r="BY402" s="78"/>
      <c r="BZ402" s="78"/>
      <c r="CA402" s="78"/>
      <c r="CB402" s="78"/>
      <c r="CC402" s="78"/>
      <c r="CD402" s="78"/>
    </row>
    <row r="403">
      <c r="A403" s="10"/>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10"/>
      <c r="BV403" s="78"/>
      <c r="BW403" s="78"/>
      <c r="BX403" s="78"/>
      <c r="BY403" s="78"/>
      <c r="BZ403" s="78"/>
      <c r="CA403" s="78"/>
      <c r="CB403" s="78"/>
      <c r="CC403" s="78"/>
      <c r="CD403" s="78"/>
    </row>
    <row r="404">
      <c r="A404" s="10"/>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10"/>
      <c r="BV404" s="78"/>
      <c r="BW404" s="78"/>
      <c r="BX404" s="78"/>
      <c r="BY404" s="78"/>
      <c r="BZ404" s="78"/>
      <c r="CA404" s="78"/>
      <c r="CB404" s="78"/>
      <c r="CC404" s="78"/>
      <c r="CD404" s="78"/>
    </row>
    <row r="405">
      <c r="A405" s="10"/>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10"/>
      <c r="BV405" s="78"/>
      <c r="BW405" s="78"/>
      <c r="BX405" s="78"/>
      <c r="BY405" s="78"/>
      <c r="BZ405" s="78"/>
      <c r="CA405" s="78"/>
      <c r="CB405" s="78"/>
      <c r="CC405" s="78"/>
      <c r="CD405" s="78"/>
    </row>
    <row r="406">
      <c r="A406" s="10"/>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10"/>
      <c r="BV406" s="78"/>
      <c r="BW406" s="78"/>
      <c r="BX406" s="78"/>
      <c r="BY406" s="78"/>
      <c r="BZ406" s="78"/>
      <c r="CA406" s="78"/>
      <c r="CB406" s="78"/>
      <c r="CC406" s="78"/>
      <c r="CD406" s="78"/>
    </row>
    <row r="407">
      <c r="A407" s="10"/>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10"/>
      <c r="BV407" s="78"/>
      <c r="BW407" s="78"/>
      <c r="BX407" s="78"/>
      <c r="BY407" s="78"/>
      <c r="BZ407" s="78"/>
      <c r="CA407" s="78"/>
      <c r="CB407" s="78"/>
      <c r="CC407" s="78"/>
      <c r="CD407" s="78"/>
    </row>
    <row r="408">
      <c r="A408" s="10"/>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10"/>
      <c r="BV408" s="78"/>
      <c r="BW408" s="78"/>
      <c r="BX408" s="78"/>
      <c r="BY408" s="78"/>
      <c r="BZ408" s="78"/>
      <c r="CA408" s="78"/>
      <c r="CB408" s="78"/>
      <c r="CC408" s="78"/>
      <c r="CD408" s="78"/>
    </row>
    <row r="409">
      <c r="A409" s="10"/>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10"/>
      <c r="BV409" s="78"/>
      <c r="BW409" s="78"/>
      <c r="BX409" s="78"/>
      <c r="BY409" s="78"/>
      <c r="BZ409" s="78"/>
      <c r="CA409" s="78"/>
      <c r="CB409" s="78"/>
      <c r="CC409" s="78"/>
      <c r="CD409" s="78"/>
    </row>
    <row r="410">
      <c r="A410" s="10"/>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10"/>
      <c r="BV410" s="78"/>
      <c r="BW410" s="78"/>
      <c r="BX410" s="78"/>
      <c r="BY410" s="78"/>
      <c r="BZ410" s="78"/>
      <c r="CA410" s="78"/>
      <c r="CB410" s="78"/>
      <c r="CC410" s="78"/>
      <c r="CD410" s="78"/>
    </row>
    <row r="411">
      <c r="A411" s="10"/>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10"/>
      <c r="BV411" s="78"/>
      <c r="BW411" s="78"/>
      <c r="BX411" s="78"/>
      <c r="BY411" s="78"/>
      <c r="BZ411" s="78"/>
      <c r="CA411" s="78"/>
      <c r="CB411" s="78"/>
      <c r="CC411" s="78"/>
      <c r="CD411" s="78"/>
    </row>
    <row r="412">
      <c r="A412" s="10"/>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10"/>
      <c r="BV412" s="78"/>
      <c r="BW412" s="78"/>
      <c r="BX412" s="78"/>
      <c r="BY412" s="78"/>
      <c r="BZ412" s="78"/>
      <c r="CA412" s="78"/>
      <c r="CB412" s="78"/>
      <c r="CC412" s="78"/>
      <c r="CD412" s="78"/>
    </row>
    <row r="413">
      <c r="A413" s="10"/>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10"/>
      <c r="BV413" s="78"/>
      <c r="BW413" s="78"/>
      <c r="BX413" s="78"/>
      <c r="BY413" s="78"/>
      <c r="BZ413" s="78"/>
      <c r="CA413" s="78"/>
      <c r="CB413" s="78"/>
      <c r="CC413" s="78"/>
      <c r="CD413" s="78"/>
    </row>
    <row r="414">
      <c r="A414" s="10"/>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10"/>
      <c r="BV414" s="78"/>
      <c r="BW414" s="78"/>
      <c r="BX414" s="78"/>
      <c r="BY414" s="78"/>
      <c r="BZ414" s="78"/>
      <c r="CA414" s="78"/>
      <c r="CB414" s="78"/>
      <c r="CC414" s="78"/>
      <c r="CD414" s="78"/>
    </row>
    <row r="415">
      <c r="A415" s="10"/>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10"/>
      <c r="BV415" s="78"/>
      <c r="BW415" s="78"/>
      <c r="BX415" s="78"/>
      <c r="BY415" s="78"/>
      <c r="BZ415" s="78"/>
      <c r="CA415" s="78"/>
      <c r="CB415" s="78"/>
      <c r="CC415" s="78"/>
      <c r="CD415" s="78"/>
    </row>
    <row r="416">
      <c r="A416" s="10"/>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10"/>
      <c r="BV416" s="78"/>
      <c r="BW416" s="78"/>
      <c r="BX416" s="78"/>
      <c r="BY416" s="78"/>
      <c r="BZ416" s="78"/>
      <c r="CA416" s="78"/>
      <c r="CB416" s="78"/>
      <c r="CC416" s="78"/>
      <c r="CD416" s="78"/>
    </row>
    <row r="417">
      <c r="A417" s="10"/>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10"/>
      <c r="BV417" s="78"/>
      <c r="BW417" s="78"/>
      <c r="BX417" s="78"/>
      <c r="BY417" s="78"/>
      <c r="BZ417" s="78"/>
      <c r="CA417" s="78"/>
      <c r="CB417" s="78"/>
      <c r="CC417" s="78"/>
      <c r="CD417" s="78"/>
    </row>
    <row r="418">
      <c r="A418" s="10"/>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10"/>
      <c r="BV418" s="78"/>
      <c r="BW418" s="78"/>
      <c r="BX418" s="78"/>
      <c r="BY418" s="78"/>
      <c r="BZ418" s="78"/>
      <c r="CA418" s="78"/>
      <c r="CB418" s="78"/>
      <c r="CC418" s="78"/>
      <c r="CD418" s="78"/>
    </row>
    <row r="419">
      <c r="A419" s="10"/>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10"/>
      <c r="BV419" s="78"/>
      <c r="BW419" s="78"/>
      <c r="BX419" s="78"/>
      <c r="BY419" s="78"/>
      <c r="BZ419" s="78"/>
      <c r="CA419" s="78"/>
      <c r="CB419" s="78"/>
      <c r="CC419" s="78"/>
      <c r="CD419" s="78"/>
    </row>
    <row r="420">
      <c r="A420" s="10"/>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10"/>
      <c r="BV420" s="78"/>
      <c r="BW420" s="78"/>
      <c r="BX420" s="78"/>
      <c r="BY420" s="78"/>
      <c r="BZ420" s="78"/>
      <c r="CA420" s="78"/>
      <c r="CB420" s="78"/>
      <c r="CC420" s="78"/>
      <c r="CD420" s="78"/>
    </row>
    <row r="421">
      <c r="A421" s="10"/>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10"/>
      <c r="BV421" s="78"/>
      <c r="BW421" s="78"/>
      <c r="BX421" s="78"/>
      <c r="BY421" s="78"/>
      <c r="BZ421" s="78"/>
      <c r="CA421" s="78"/>
      <c r="CB421" s="78"/>
      <c r="CC421" s="78"/>
      <c r="CD421" s="78"/>
    </row>
    <row r="422">
      <c r="A422" s="10"/>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10"/>
      <c r="BV422" s="78"/>
      <c r="BW422" s="78"/>
      <c r="BX422" s="78"/>
      <c r="BY422" s="78"/>
      <c r="BZ422" s="78"/>
      <c r="CA422" s="78"/>
      <c r="CB422" s="78"/>
      <c r="CC422" s="78"/>
      <c r="CD422" s="78"/>
    </row>
    <row r="423">
      <c r="A423" s="10"/>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10"/>
      <c r="BV423" s="78"/>
      <c r="BW423" s="78"/>
      <c r="BX423" s="78"/>
      <c r="BY423" s="78"/>
      <c r="BZ423" s="78"/>
      <c r="CA423" s="78"/>
      <c r="CB423" s="78"/>
      <c r="CC423" s="78"/>
      <c r="CD423" s="78"/>
    </row>
    <row r="424">
      <c r="A424" s="10"/>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10"/>
      <c r="BV424" s="78"/>
      <c r="BW424" s="78"/>
      <c r="BX424" s="78"/>
      <c r="BY424" s="78"/>
      <c r="BZ424" s="78"/>
      <c r="CA424" s="78"/>
      <c r="CB424" s="78"/>
      <c r="CC424" s="78"/>
      <c r="CD424" s="78"/>
    </row>
    <row r="425">
      <c r="A425" s="10"/>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10"/>
      <c r="BV425" s="78"/>
      <c r="BW425" s="78"/>
      <c r="BX425" s="78"/>
      <c r="BY425" s="78"/>
      <c r="BZ425" s="78"/>
      <c r="CA425" s="78"/>
      <c r="CB425" s="78"/>
      <c r="CC425" s="78"/>
      <c r="CD425" s="78"/>
    </row>
    <row r="426">
      <c r="A426" s="10"/>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10"/>
      <c r="BV426" s="78"/>
      <c r="BW426" s="78"/>
      <c r="BX426" s="78"/>
      <c r="BY426" s="78"/>
      <c r="BZ426" s="78"/>
      <c r="CA426" s="78"/>
      <c r="CB426" s="78"/>
      <c r="CC426" s="78"/>
      <c r="CD426" s="78"/>
    </row>
    <row r="427">
      <c r="A427" s="10"/>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10"/>
      <c r="BV427" s="78"/>
      <c r="BW427" s="78"/>
      <c r="BX427" s="78"/>
      <c r="BY427" s="78"/>
      <c r="BZ427" s="78"/>
      <c r="CA427" s="78"/>
      <c r="CB427" s="78"/>
      <c r="CC427" s="78"/>
      <c r="CD427" s="78"/>
    </row>
    <row r="428">
      <c r="A428" s="10"/>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10"/>
      <c r="BV428" s="78"/>
      <c r="BW428" s="78"/>
      <c r="BX428" s="78"/>
      <c r="BY428" s="78"/>
      <c r="BZ428" s="78"/>
      <c r="CA428" s="78"/>
      <c r="CB428" s="78"/>
      <c r="CC428" s="78"/>
      <c r="CD428" s="78"/>
    </row>
    <row r="429">
      <c r="A429" s="10"/>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10"/>
      <c r="BV429" s="78"/>
      <c r="BW429" s="78"/>
      <c r="BX429" s="78"/>
      <c r="BY429" s="78"/>
      <c r="BZ429" s="78"/>
      <c r="CA429" s="78"/>
      <c r="CB429" s="78"/>
      <c r="CC429" s="78"/>
      <c r="CD429" s="78"/>
    </row>
    <row r="430">
      <c r="A430" s="10"/>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10"/>
      <c r="BV430" s="78"/>
      <c r="BW430" s="78"/>
      <c r="BX430" s="78"/>
      <c r="BY430" s="78"/>
      <c r="BZ430" s="78"/>
      <c r="CA430" s="78"/>
      <c r="CB430" s="78"/>
      <c r="CC430" s="78"/>
      <c r="CD430" s="78"/>
    </row>
    <row r="431">
      <c r="A431" s="10"/>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10"/>
      <c r="BV431" s="78"/>
      <c r="BW431" s="78"/>
      <c r="BX431" s="78"/>
      <c r="BY431" s="78"/>
      <c r="BZ431" s="78"/>
      <c r="CA431" s="78"/>
      <c r="CB431" s="78"/>
      <c r="CC431" s="78"/>
      <c r="CD431" s="78"/>
    </row>
    <row r="432">
      <c r="A432" s="10"/>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10"/>
      <c r="BV432" s="78"/>
      <c r="BW432" s="78"/>
      <c r="BX432" s="78"/>
      <c r="BY432" s="78"/>
      <c r="BZ432" s="78"/>
      <c r="CA432" s="78"/>
      <c r="CB432" s="78"/>
      <c r="CC432" s="78"/>
      <c r="CD432" s="78"/>
    </row>
    <row r="433">
      <c r="A433" s="10"/>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10"/>
      <c r="BV433" s="78"/>
      <c r="BW433" s="78"/>
      <c r="BX433" s="78"/>
      <c r="BY433" s="78"/>
      <c r="BZ433" s="78"/>
      <c r="CA433" s="78"/>
      <c r="CB433" s="78"/>
      <c r="CC433" s="78"/>
      <c r="CD433" s="78"/>
    </row>
    <row r="434">
      <c r="A434" s="10"/>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10"/>
      <c r="BV434" s="78"/>
      <c r="BW434" s="78"/>
      <c r="BX434" s="78"/>
      <c r="BY434" s="78"/>
      <c r="BZ434" s="78"/>
      <c r="CA434" s="78"/>
      <c r="CB434" s="78"/>
      <c r="CC434" s="78"/>
      <c r="CD434" s="78"/>
    </row>
    <row r="435">
      <c r="A435" s="10"/>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10"/>
      <c r="BV435" s="78"/>
      <c r="BW435" s="78"/>
      <c r="BX435" s="78"/>
      <c r="BY435" s="78"/>
      <c r="BZ435" s="78"/>
      <c r="CA435" s="78"/>
      <c r="CB435" s="78"/>
      <c r="CC435" s="78"/>
      <c r="CD435" s="78"/>
    </row>
    <row r="436">
      <c r="A436" s="10"/>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10"/>
      <c r="BV436" s="78"/>
      <c r="BW436" s="78"/>
      <c r="BX436" s="78"/>
      <c r="BY436" s="78"/>
      <c r="BZ436" s="78"/>
      <c r="CA436" s="78"/>
      <c r="CB436" s="78"/>
      <c r="CC436" s="78"/>
      <c r="CD436" s="78"/>
    </row>
    <row r="437">
      <c r="A437" s="10"/>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10"/>
      <c r="BV437" s="78"/>
      <c r="BW437" s="78"/>
      <c r="BX437" s="78"/>
      <c r="BY437" s="78"/>
      <c r="BZ437" s="78"/>
      <c r="CA437" s="78"/>
      <c r="CB437" s="78"/>
      <c r="CC437" s="78"/>
      <c r="CD437" s="78"/>
    </row>
    <row r="438">
      <c r="A438" s="10"/>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10"/>
      <c r="BV438" s="78"/>
      <c r="BW438" s="78"/>
      <c r="BX438" s="78"/>
      <c r="BY438" s="78"/>
      <c r="BZ438" s="78"/>
      <c r="CA438" s="78"/>
      <c r="CB438" s="78"/>
      <c r="CC438" s="78"/>
      <c r="CD438" s="78"/>
    </row>
    <row r="439">
      <c r="A439" s="10"/>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10"/>
      <c r="BV439" s="78"/>
      <c r="BW439" s="78"/>
      <c r="BX439" s="78"/>
      <c r="BY439" s="78"/>
      <c r="BZ439" s="78"/>
      <c r="CA439" s="78"/>
      <c r="CB439" s="78"/>
      <c r="CC439" s="78"/>
      <c r="CD439" s="78"/>
    </row>
    <row r="440">
      <c r="A440" s="10"/>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10"/>
      <c r="BV440" s="78"/>
      <c r="BW440" s="78"/>
      <c r="BX440" s="78"/>
      <c r="BY440" s="78"/>
      <c r="BZ440" s="78"/>
      <c r="CA440" s="78"/>
      <c r="CB440" s="78"/>
      <c r="CC440" s="78"/>
      <c r="CD440" s="78"/>
    </row>
    <row r="441">
      <c r="A441" s="10"/>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10"/>
      <c r="BV441" s="78"/>
      <c r="BW441" s="78"/>
      <c r="BX441" s="78"/>
      <c r="BY441" s="78"/>
      <c r="BZ441" s="78"/>
      <c r="CA441" s="78"/>
      <c r="CB441" s="78"/>
      <c r="CC441" s="78"/>
      <c r="CD441" s="78"/>
    </row>
    <row r="442">
      <c r="A442" s="10"/>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10"/>
      <c r="BV442" s="78"/>
      <c r="BW442" s="78"/>
      <c r="BX442" s="78"/>
      <c r="BY442" s="78"/>
      <c r="BZ442" s="78"/>
      <c r="CA442" s="78"/>
      <c r="CB442" s="78"/>
      <c r="CC442" s="78"/>
      <c r="CD442" s="78"/>
    </row>
    <row r="443">
      <c r="A443" s="10"/>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10"/>
      <c r="BV443" s="78"/>
      <c r="BW443" s="78"/>
      <c r="BX443" s="78"/>
      <c r="BY443" s="78"/>
      <c r="BZ443" s="78"/>
      <c r="CA443" s="78"/>
      <c r="CB443" s="78"/>
      <c r="CC443" s="78"/>
      <c r="CD443" s="78"/>
    </row>
    <row r="444">
      <c r="A444" s="10"/>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10"/>
      <c r="BV444" s="78"/>
      <c r="BW444" s="78"/>
      <c r="BX444" s="78"/>
      <c r="BY444" s="78"/>
      <c r="BZ444" s="78"/>
      <c r="CA444" s="78"/>
      <c r="CB444" s="78"/>
      <c r="CC444" s="78"/>
      <c r="CD444" s="78"/>
    </row>
    <row r="445">
      <c r="A445" s="10"/>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10"/>
      <c r="BV445" s="78"/>
      <c r="BW445" s="78"/>
      <c r="BX445" s="78"/>
      <c r="BY445" s="78"/>
      <c r="BZ445" s="78"/>
      <c r="CA445" s="78"/>
      <c r="CB445" s="78"/>
      <c r="CC445" s="78"/>
      <c r="CD445" s="78"/>
    </row>
    <row r="446">
      <c r="A446" s="10"/>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10"/>
      <c r="BV446" s="78"/>
      <c r="BW446" s="78"/>
      <c r="BX446" s="78"/>
      <c r="BY446" s="78"/>
      <c r="BZ446" s="78"/>
      <c r="CA446" s="78"/>
      <c r="CB446" s="78"/>
      <c r="CC446" s="78"/>
      <c r="CD446" s="78"/>
    </row>
    <row r="447">
      <c r="A447" s="10"/>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10"/>
      <c r="BV447" s="78"/>
      <c r="BW447" s="78"/>
      <c r="BX447" s="78"/>
      <c r="BY447" s="78"/>
      <c r="BZ447" s="78"/>
      <c r="CA447" s="78"/>
      <c r="CB447" s="78"/>
      <c r="CC447" s="78"/>
      <c r="CD447" s="78"/>
    </row>
    <row r="448">
      <c r="A448" s="10"/>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10"/>
      <c r="BV448" s="78"/>
      <c r="BW448" s="78"/>
      <c r="BX448" s="78"/>
      <c r="BY448" s="78"/>
      <c r="BZ448" s="78"/>
      <c r="CA448" s="78"/>
      <c r="CB448" s="78"/>
      <c r="CC448" s="78"/>
      <c r="CD448" s="78"/>
    </row>
    <row r="449">
      <c r="A449" s="10"/>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10"/>
      <c r="BV449" s="78"/>
      <c r="BW449" s="78"/>
      <c r="BX449" s="78"/>
      <c r="BY449" s="78"/>
      <c r="BZ449" s="78"/>
      <c r="CA449" s="78"/>
      <c r="CB449" s="78"/>
      <c r="CC449" s="78"/>
      <c r="CD449" s="78"/>
    </row>
    <row r="450">
      <c r="A450" s="10"/>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10"/>
      <c r="BV450" s="78"/>
      <c r="BW450" s="78"/>
      <c r="BX450" s="78"/>
      <c r="BY450" s="78"/>
      <c r="BZ450" s="78"/>
      <c r="CA450" s="78"/>
      <c r="CB450" s="78"/>
      <c r="CC450" s="78"/>
      <c r="CD450" s="78"/>
    </row>
    <row r="451">
      <c r="A451" s="10"/>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10"/>
      <c r="BV451" s="78"/>
      <c r="BW451" s="78"/>
      <c r="BX451" s="78"/>
      <c r="BY451" s="78"/>
      <c r="BZ451" s="78"/>
      <c r="CA451" s="78"/>
      <c r="CB451" s="78"/>
      <c r="CC451" s="78"/>
      <c r="CD451" s="78"/>
    </row>
    <row r="452">
      <c r="A452" s="10"/>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10"/>
      <c r="BV452" s="78"/>
      <c r="BW452" s="78"/>
      <c r="BX452" s="78"/>
      <c r="BY452" s="78"/>
      <c r="BZ452" s="78"/>
      <c r="CA452" s="78"/>
      <c r="CB452" s="78"/>
      <c r="CC452" s="78"/>
      <c r="CD452" s="78"/>
    </row>
    <row r="453">
      <c r="A453" s="10"/>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10"/>
      <c r="BV453" s="78"/>
      <c r="BW453" s="78"/>
      <c r="BX453" s="78"/>
      <c r="BY453" s="78"/>
      <c r="BZ453" s="78"/>
      <c r="CA453" s="78"/>
      <c r="CB453" s="78"/>
      <c r="CC453" s="78"/>
      <c r="CD453" s="78"/>
    </row>
    <row r="454">
      <c r="A454" s="10"/>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10"/>
      <c r="BV454" s="78"/>
      <c r="BW454" s="78"/>
      <c r="BX454" s="78"/>
      <c r="BY454" s="78"/>
      <c r="BZ454" s="78"/>
      <c r="CA454" s="78"/>
      <c r="CB454" s="78"/>
      <c r="CC454" s="78"/>
      <c r="CD454" s="78"/>
    </row>
    <row r="455">
      <c r="A455" s="10"/>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10"/>
      <c r="BV455" s="78"/>
      <c r="BW455" s="78"/>
      <c r="BX455" s="78"/>
      <c r="BY455" s="78"/>
      <c r="BZ455" s="78"/>
      <c r="CA455" s="78"/>
      <c r="CB455" s="78"/>
      <c r="CC455" s="78"/>
      <c r="CD455" s="78"/>
    </row>
    <row r="456">
      <c r="A456" s="10"/>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10"/>
      <c r="BV456" s="78"/>
      <c r="BW456" s="78"/>
      <c r="BX456" s="78"/>
      <c r="BY456" s="78"/>
      <c r="BZ456" s="78"/>
      <c r="CA456" s="78"/>
      <c r="CB456" s="78"/>
      <c r="CC456" s="78"/>
      <c r="CD456" s="78"/>
    </row>
    <row r="457">
      <c r="A457" s="10"/>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10"/>
      <c r="BV457" s="78"/>
      <c r="BW457" s="78"/>
      <c r="BX457" s="78"/>
      <c r="BY457" s="78"/>
      <c r="BZ457" s="78"/>
      <c r="CA457" s="78"/>
      <c r="CB457" s="78"/>
      <c r="CC457" s="78"/>
      <c r="CD457" s="78"/>
    </row>
    <row r="458">
      <c r="A458" s="10"/>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10"/>
      <c r="BV458" s="78"/>
      <c r="BW458" s="78"/>
      <c r="BX458" s="78"/>
      <c r="BY458" s="78"/>
      <c r="BZ458" s="78"/>
      <c r="CA458" s="78"/>
      <c r="CB458" s="78"/>
      <c r="CC458" s="78"/>
      <c r="CD458" s="78"/>
    </row>
    <row r="459">
      <c r="A459" s="10"/>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10"/>
      <c r="BV459" s="78"/>
      <c r="BW459" s="78"/>
      <c r="BX459" s="78"/>
      <c r="BY459" s="78"/>
      <c r="BZ459" s="78"/>
      <c r="CA459" s="78"/>
      <c r="CB459" s="78"/>
      <c r="CC459" s="78"/>
      <c r="CD459" s="78"/>
    </row>
    <row r="460">
      <c r="A460" s="10"/>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10"/>
      <c r="BV460" s="78"/>
      <c r="BW460" s="78"/>
      <c r="BX460" s="78"/>
      <c r="BY460" s="78"/>
      <c r="BZ460" s="78"/>
      <c r="CA460" s="78"/>
      <c r="CB460" s="78"/>
      <c r="CC460" s="78"/>
      <c r="CD460" s="78"/>
    </row>
    <row r="461">
      <c r="A461" s="10"/>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10"/>
      <c r="BV461" s="78"/>
      <c r="BW461" s="78"/>
      <c r="BX461" s="78"/>
      <c r="BY461" s="78"/>
      <c r="BZ461" s="78"/>
      <c r="CA461" s="78"/>
      <c r="CB461" s="78"/>
      <c r="CC461" s="78"/>
      <c r="CD461" s="78"/>
    </row>
    <row r="462">
      <c r="A462" s="10"/>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10"/>
      <c r="BV462" s="78"/>
      <c r="BW462" s="78"/>
      <c r="BX462" s="78"/>
      <c r="BY462" s="78"/>
      <c r="BZ462" s="78"/>
      <c r="CA462" s="78"/>
      <c r="CB462" s="78"/>
      <c r="CC462" s="78"/>
      <c r="CD462" s="78"/>
    </row>
    <row r="463">
      <c r="A463" s="10"/>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10"/>
      <c r="BV463" s="78"/>
      <c r="BW463" s="78"/>
      <c r="BX463" s="78"/>
      <c r="BY463" s="78"/>
      <c r="BZ463" s="78"/>
      <c r="CA463" s="78"/>
      <c r="CB463" s="78"/>
      <c r="CC463" s="78"/>
      <c r="CD463" s="78"/>
    </row>
    <row r="464">
      <c r="A464" s="10"/>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10"/>
      <c r="BV464" s="78"/>
      <c r="BW464" s="78"/>
      <c r="BX464" s="78"/>
      <c r="BY464" s="78"/>
      <c r="BZ464" s="78"/>
      <c r="CA464" s="78"/>
      <c r="CB464" s="78"/>
      <c r="CC464" s="78"/>
      <c r="CD464" s="78"/>
    </row>
    <row r="465">
      <c r="A465" s="10"/>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10"/>
      <c r="BV465" s="78"/>
      <c r="BW465" s="78"/>
      <c r="BX465" s="78"/>
      <c r="BY465" s="78"/>
      <c r="BZ465" s="78"/>
      <c r="CA465" s="78"/>
      <c r="CB465" s="78"/>
      <c r="CC465" s="78"/>
      <c r="CD465" s="78"/>
    </row>
    <row r="466">
      <c r="A466" s="10"/>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10"/>
      <c r="BV466" s="78"/>
      <c r="BW466" s="78"/>
      <c r="BX466" s="78"/>
      <c r="BY466" s="78"/>
      <c r="BZ466" s="78"/>
      <c r="CA466" s="78"/>
      <c r="CB466" s="78"/>
      <c r="CC466" s="78"/>
      <c r="CD466" s="78"/>
    </row>
    <row r="467">
      <c r="A467" s="10"/>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10"/>
      <c r="BV467" s="78"/>
      <c r="BW467" s="78"/>
      <c r="BX467" s="78"/>
      <c r="BY467" s="78"/>
      <c r="BZ467" s="78"/>
      <c r="CA467" s="78"/>
      <c r="CB467" s="78"/>
      <c r="CC467" s="78"/>
      <c r="CD467" s="78"/>
    </row>
    <row r="468">
      <c r="A468" s="10"/>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10"/>
      <c r="BV468" s="78"/>
      <c r="BW468" s="78"/>
      <c r="BX468" s="78"/>
      <c r="BY468" s="78"/>
      <c r="BZ468" s="78"/>
      <c r="CA468" s="78"/>
      <c r="CB468" s="78"/>
      <c r="CC468" s="78"/>
      <c r="CD468" s="78"/>
    </row>
    <row r="469">
      <c r="A469" s="10"/>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10"/>
      <c r="BV469" s="78"/>
      <c r="BW469" s="78"/>
      <c r="BX469" s="78"/>
      <c r="BY469" s="78"/>
      <c r="BZ469" s="78"/>
      <c r="CA469" s="78"/>
      <c r="CB469" s="78"/>
      <c r="CC469" s="78"/>
      <c r="CD469" s="78"/>
    </row>
    <row r="470">
      <c r="A470" s="10"/>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10"/>
      <c r="BV470" s="78"/>
      <c r="BW470" s="78"/>
      <c r="BX470" s="78"/>
      <c r="BY470" s="78"/>
      <c r="BZ470" s="78"/>
      <c r="CA470" s="78"/>
      <c r="CB470" s="78"/>
      <c r="CC470" s="78"/>
      <c r="CD470" s="78"/>
    </row>
    <row r="471">
      <c r="A471" s="10"/>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10"/>
      <c r="BV471" s="78"/>
      <c r="BW471" s="78"/>
      <c r="BX471" s="78"/>
      <c r="BY471" s="78"/>
      <c r="BZ471" s="78"/>
      <c r="CA471" s="78"/>
      <c r="CB471" s="78"/>
      <c r="CC471" s="78"/>
      <c r="CD471" s="78"/>
    </row>
    <row r="472">
      <c r="A472" s="10"/>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10"/>
      <c r="BV472" s="78"/>
      <c r="BW472" s="78"/>
      <c r="BX472" s="78"/>
      <c r="BY472" s="78"/>
      <c r="BZ472" s="78"/>
      <c r="CA472" s="78"/>
      <c r="CB472" s="78"/>
      <c r="CC472" s="78"/>
      <c r="CD472" s="78"/>
    </row>
    <row r="473">
      <c r="A473" s="10"/>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10"/>
      <c r="BV473" s="78"/>
      <c r="BW473" s="78"/>
      <c r="BX473" s="78"/>
      <c r="BY473" s="78"/>
      <c r="BZ473" s="78"/>
      <c r="CA473" s="78"/>
      <c r="CB473" s="78"/>
      <c r="CC473" s="78"/>
      <c r="CD473" s="78"/>
    </row>
    <row r="474">
      <c r="A474" s="10"/>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10"/>
      <c r="BV474" s="78"/>
      <c r="BW474" s="78"/>
      <c r="BX474" s="78"/>
      <c r="BY474" s="78"/>
      <c r="BZ474" s="78"/>
      <c r="CA474" s="78"/>
      <c r="CB474" s="78"/>
      <c r="CC474" s="78"/>
      <c r="CD474" s="78"/>
    </row>
    <row r="475">
      <c r="A475" s="10"/>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10"/>
      <c r="BV475" s="78"/>
      <c r="BW475" s="78"/>
      <c r="BX475" s="78"/>
      <c r="BY475" s="78"/>
      <c r="BZ475" s="78"/>
      <c r="CA475" s="78"/>
      <c r="CB475" s="78"/>
      <c r="CC475" s="78"/>
      <c r="CD475" s="78"/>
    </row>
    <row r="476">
      <c r="A476" s="10"/>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10"/>
      <c r="BV476" s="78"/>
      <c r="BW476" s="78"/>
      <c r="BX476" s="78"/>
      <c r="BY476" s="78"/>
      <c r="BZ476" s="78"/>
      <c r="CA476" s="78"/>
      <c r="CB476" s="78"/>
      <c r="CC476" s="78"/>
      <c r="CD476" s="78"/>
    </row>
    <row r="477">
      <c r="A477" s="10"/>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10"/>
      <c r="BV477" s="78"/>
      <c r="BW477" s="78"/>
      <c r="BX477" s="78"/>
      <c r="BY477" s="78"/>
      <c r="BZ477" s="78"/>
      <c r="CA477" s="78"/>
      <c r="CB477" s="78"/>
      <c r="CC477" s="78"/>
      <c r="CD477" s="78"/>
    </row>
    <row r="478">
      <c r="A478" s="10"/>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10"/>
      <c r="BV478" s="78"/>
      <c r="BW478" s="78"/>
      <c r="BX478" s="78"/>
      <c r="BY478" s="78"/>
      <c r="BZ478" s="78"/>
      <c r="CA478" s="78"/>
      <c r="CB478" s="78"/>
      <c r="CC478" s="78"/>
      <c r="CD478" s="78"/>
    </row>
    <row r="479">
      <c r="A479" s="10"/>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10"/>
      <c r="BV479" s="78"/>
      <c r="BW479" s="78"/>
      <c r="BX479" s="78"/>
      <c r="BY479" s="78"/>
      <c r="BZ479" s="78"/>
      <c r="CA479" s="78"/>
      <c r="CB479" s="78"/>
      <c r="CC479" s="78"/>
      <c r="CD479" s="78"/>
    </row>
    <row r="480">
      <c r="A480" s="10"/>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10"/>
      <c r="BV480" s="78"/>
      <c r="BW480" s="78"/>
      <c r="BX480" s="78"/>
      <c r="BY480" s="78"/>
      <c r="BZ480" s="78"/>
      <c r="CA480" s="78"/>
      <c r="CB480" s="78"/>
      <c r="CC480" s="78"/>
      <c r="CD480" s="78"/>
    </row>
    <row r="481">
      <c r="A481" s="10"/>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10"/>
      <c r="BV481" s="78"/>
      <c r="BW481" s="78"/>
      <c r="BX481" s="78"/>
      <c r="BY481" s="78"/>
      <c r="BZ481" s="78"/>
      <c r="CA481" s="78"/>
      <c r="CB481" s="78"/>
      <c r="CC481" s="78"/>
      <c r="CD481" s="78"/>
    </row>
    <row r="482">
      <c r="A482" s="10"/>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10"/>
      <c r="BV482" s="78"/>
      <c r="BW482" s="78"/>
      <c r="BX482" s="78"/>
      <c r="BY482" s="78"/>
      <c r="BZ482" s="78"/>
      <c r="CA482" s="78"/>
      <c r="CB482" s="78"/>
      <c r="CC482" s="78"/>
      <c r="CD482" s="78"/>
    </row>
    <row r="483">
      <c r="A483" s="10"/>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10"/>
      <c r="BV483" s="78"/>
      <c r="BW483" s="78"/>
      <c r="BX483" s="78"/>
      <c r="BY483" s="78"/>
      <c r="BZ483" s="78"/>
      <c r="CA483" s="78"/>
      <c r="CB483" s="78"/>
      <c r="CC483" s="78"/>
      <c r="CD483" s="78"/>
    </row>
    <row r="484">
      <c r="A484" s="10"/>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10"/>
      <c r="BV484" s="78"/>
      <c r="BW484" s="78"/>
      <c r="BX484" s="78"/>
      <c r="BY484" s="78"/>
      <c r="BZ484" s="78"/>
      <c r="CA484" s="78"/>
      <c r="CB484" s="78"/>
      <c r="CC484" s="78"/>
      <c r="CD484" s="78"/>
    </row>
    <row r="485">
      <c r="A485" s="10"/>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10"/>
      <c r="BV485" s="78"/>
      <c r="BW485" s="78"/>
      <c r="BX485" s="78"/>
      <c r="BY485" s="78"/>
      <c r="BZ485" s="78"/>
      <c r="CA485" s="78"/>
      <c r="CB485" s="78"/>
      <c r="CC485" s="78"/>
      <c r="CD485" s="78"/>
    </row>
    <row r="486">
      <c r="A486" s="10"/>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10"/>
      <c r="BV486" s="78"/>
      <c r="BW486" s="78"/>
      <c r="BX486" s="78"/>
      <c r="BY486" s="78"/>
      <c r="BZ486" s="78"/>
      <c r="CA486" s="78"/>
      <c r="CB486" s="78"/>
      <c r="CC486" s="78"/>
      <c r="CD486" s="78"/>
    </row>
    <row r="487">
      <c r="A487" s="10"/>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10"/>
      <c r="BV487" s="78"/>
      <c r="BW487" s="78"/>
      <c r="BX487" s="78"/>
      <c r="BY487" s="78"/>
      <c r="BZ487" s="78"/>
      <c r="CA487" s="78"/>
      <c r="CB487" s="78"/>
      <c r="CC487" s="78"/>
      <c r="CD487" s="78"/>
    </row>
    <row r="488">
      <c r="A488" s="10"/>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10"/>
      <c r="BV488" s="78"/>
      <c r="BW488" s="78"/>
      <c r="BX488" s="78"/>
      <c r="BY488" s="78"/>
      <c r="BZ488" s="78"/>
      <c r="CA488" s="78"/>
      <c r="CB488" s="78"/>
      <c r="CC488" s="78"/>
      <c r="CD488" s="78"/>
    </row>
    <row r="489">
      <c r="A489" s="10"/>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10"/>
      <c r="BV489" s="78"/>
      <c r="BW489" s="78"/>
      <c r="BX489" s="78"/>
      <c r="BY489" s="78"/>
      <c r="BZ489" s="78"/>
      <c r="CA489" s="78"/>
      <c r="CB489" s="78"/>
      <c r="CC489" s="78"/>
      <c r="CD489" s="78"/>
    </row>
    <row r="490">
      <c r="A490" s="10"/>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10"/>
      <c r="BV490" s="78"/>
      <c r="BW490" s="78"/>
      <c r="BX490" s="78"/>
      <c r="BY490" s="78"/>
      <c r="BZ490" s="78"/>
      <c r="CA490" s="78"/>
      <c r="CB490" s="78"/>
      <c r="CC490" s="78"/>
      <c r="CD490" s="78"/>
    </row>
    <row r="491">
      <c r="A491" s="10"/>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10"/>
      <c r="BV491" s="78"/>
      <c r="BW491" s="78"/>
      <c r="BX491" s="78"/>
      <c r="BY491" s="78"/>
      <c r="BZ491" s="78"/>
      <c r="CA491" s="78"/>
      <c r="CB491" s="78"/>
      <c r="CC491" s="78"/>
      <c r="CD491" s="78"/>
    </row>
    <row r="492">
      <c r="A492" s="10"/>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10"/>
      <c r="BV492" s="78"/>
      <c r="BW492" s="78"/>
      <c r="BX492" s="78"/>
      <c r="BY492" s="78"/>
      <c r="BZ492" s="78"/>
      <c r="CA492" s="78"/>
      <c r="CB492" s="78"/>
      <c r="CC492" s="78"/>
      <c r="CD492" s="78"/>
    </row>
    <row r="493">
      <c r="A493" s="10"/>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10"/>
      <c r="BV493" s="78"/>
      <c r="BW493" s="78"/>
      <c r="BX493" s="78"/>
      <c r="BY493" s="78"/>
      <c r="BZ493" s="78"/>
      <c r="CA493" s="78"/>
      <c r="CB493" s="78"/>
      <c r="CC493" s="78"/>
      <c r="CD493" s="78"/>
    </row>
    <row r="494">
      <c r="A494" s="10"/>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10"/>
      <c r="BV494" s="78"/>
      <c r="BW494" s="78"/>
      <c r="BX494" s="78"/>
      <c r="BY494" s="78"/>
      <c r="BZ494" s="78"/>
      <c r="CA494" s="78"/>
      <c r="CB494" s="78"/>
      <c r="CC494" s="78"/>
      <c r="CD494" s="78"/>
    </row>
    <row r="495">
      <c r="A495" s="10"/>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10"/>
      <c r="BV495" s="78"/>
      <c r="BW495" s="78"/>
      <c r="BX495" s="78"/>
      <c r="BY495" s="78"/>
      <c r="BZ495" s="78"/>
      <c r="CA495" s="78"/>
      <c r="CB495" s="78"/>
      <c r="CC495" s="78"/>
      <c r="CD495" s="78"/>
    </row>
    <row r="496">
      <c r="A496" s="10"/>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10"/>
      <c r="BV496" s="78"/>
      <c r="BW496" s="78"/>
      <c r="BX496" s="78"/>
      <c r="BY496" s="78"/>
      <c r="BZ496" s="78"/>
      <c r="CA496" s="78"/>
      <c r="CB496" s="78"/>
      <c r="CC496" s="78"/>
      <c r="CD496" s="78"/>
    </row>
    <row r="497">
      <c r="A497" s="10"/>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10"/>
      <c r="BV497" s="78"/>
      <c r="BW497" s="78"/>
      <c r="BX497" s="78"/>
      <c r="BY497" s="78"/>
      <c r="BZ497" s="78"/>
      <c r="CA497" s="78"/>
      <c r="CB497" s="78"/>
      <c r="CC497" s="78"/>
      <c r="CD497" s="78"/>
    </row>
    <row r="498">
      <c r="A498" s="10"/>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10"/>
      <c r="BV498" s="78"/>
      <c r="BW498" s="78"/>
      <c r="BX498" s="78"/>
      <c r="BY498" s="78"/>
      <c r="BZ498" s="78"/>
      <c r="CA498" s="78"/>
      <c r="CB498" s="78"/>
      <c r="CC498" s="78"/>
      <c r="CD498" s="78"/>
    </row>
    <row r="499">
      <c r="A499" s="10"/>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10"/>
      <c r="BV499" s="78"/>
      <c r="BW499" s="78"/>
      <c r="BX499" s="78"/>
      <c r="BY499" s="78"/>
      <c r="BZ499" s="78"/>
      <c r="CA499" s="78"/>
      <c r="CB499" s="78"/>
      <c r="CC499" s="78"/>
      <c r="CD499" s="78"/>
    </row>
    <row r="500">
      <c r="A500" s="10"/>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10"/>
      <c r="BV500" s="78"/>
      <c r="BW500" s="78"/>
      <c r="BX500" s="78"/>
      <c r="BY500" s="78"/>
      <c r="BZ500" s="78"/>
      <c r="CA500" s="78"/>
      <c r="CB500" s="78"/>
      <c r="CC500" s="78"/>
      <c r="CD500" s="78"/>
    </row>
    <row r="501">
      <c r="A501" s="10"/>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10"/>
      <c r="BV501" s="78"/>
      <c r="BW501" s="78"/>
      <c r="BX501" s="78"/>
      <c r="BY501" s="78"/>
      <c r="BZ501" s="78"/>
      <c r="CA501" s="78"/>
      <c r="CB501" s="78"/>
      <c r="CC501" s="78"/>
      <c r="CD501" s="78"/>
    </row>
    <row r="502">
      <c r="A502" s="10"/>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10"/>
      <c r="BV502" s="78"/>
      <c r="BW502" s="78"/>
      <c r="BX502" s="78"/>
      <c r="BY502" s="78"/>
      <c r="BZ502" s="78"/>
      <c r="CA502" s="78"/>
      <c r="CB502" s="78"/>
      <c r="CC502" s="78"/>
      <c r="CD502" s="78"/>
    </row>
    <row r="503">
      <c r="A503" s="10"/>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10"/>
      <c r="BV503" s="78"/>
      <c r="BW503" s="78"/>
      <c r="BX503" s="78"/>
      <c r="BY503" s="78"/>
      <c r="BZ503" s="78"/>
      <c r="CA503" s="78"/>
      <c r="CB503" s="78"/>
      <c r="CC503" s="78"/>
      <c r="CD503" s="78"/>
    </row>
    <row r="504">
      <c r="A504" s="10"/>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10"/>
      <c r="BV504" s="78"/>
      <c r="BW504" s="78"/>
      <c r="BX504" s="78"/>
      <c r="BY504" s="78"/>
      <c r="BZ504" s="78"/>
      <c r="CA504" s="78"/>
      <c r="CB504" s="78"/>
      <c r="CC504" s="78"/>
      <c r="CD504" s="78"/>
    </row>
    <row r="505">
      <c r="A505" s="10"/>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10"/>
      <c r="BV505" s="78"/>
      <c r="BW505" s="78"/>
      <c r="BX505" s="78"/>
      <c r="BY505" s="78"/>
      <c r="BZ505" s="78"/>
      <c r="CA505" s="78"/>
      <c r="CB505" s="78"/>
      <c r="CC505" s="78"/>
      <c r="CD505" s="78"/>
    </row>
    <row r="506">
      <c r="A506" s="10"/>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10"/>
      <c r="BV506" s="78"/>
      <c r="BW506" s="78"/>
      <c r="BX506" s="78"/>
      <c r="BY506" s="78"/>
      <c r="BZ506" s="78"/>
      <c r="CA506" s="78"/>
      <c r="CB506" s="78"/>
      <c r="CC506" s="78"/>
      <c r="CD506" s="78"/>
    </row>
    <row r="507">
      <c r="A507" s="10"/>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10"/>
      <c r="BV507" s="78"/>
      <c r="BW507" s="78"/>
      <c r="BX507" s="78"/>
      <c r="BY507" s="78"/>
      <c r="BZ507" s="78"/>
      <c r="CA507" s="78"/>
      <c r="CB507" s="78"/>
      <c r="CC507" s="78"/>
      <c r="CD507" s="78"/>
    </row>
    <row r="508">
      <c r="A508" s="10"/>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10"/>
      <c r="BV508" s="78"/>
      <c r="BW508" s="78"/>
      <c r="BX508" s="78"/>
      <c r="BY508" s="78"/>
      <c r="BZ508" s="78"/>
      <c r="CA508" s="78"/>
      <c r="CB508" s="78"/>
      <c r="CC508" s="78"/>
      <c r="CD508" s="78"/>
    </row>
    <row r="509">
      <c r="A509" s="10"/>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10"/>
      <c r="BV509" s="78"/>
      <c r="BW509" s="78"/>
      <c r="BX509" s="78"/>
      <c r="BY509" s="78"/>
      <c r="BZ509" s="78"/>
      <c r="CA509" s="78"/>
      <c r="CB509" s="78"/>
      <c r="CC509" s="78"/>
      <c r="CD509" s="78"/>
    </row>
    <row r="510">
      <c r="A510" s="10"/>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10"/>
      <c r="BV510" s="78"/>
      <c r="BW510" s="78"/>
      <c r="BX510" s="78"/>
      <c r="BY510" s="78"/>
      <c r="BZ510" s="78"/>
      <c r="CA510" s="78"/>
      <c r="CB510" s="78"/>
      <c r="CC510" s="78"/>
      <c r="CD510" s="78"/>
    </row>
    <row r="511">
      <c r="A511" s="10"/>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10"/>
      <c r="BV511" s="78"/>
      <c r="BW511" s="78"/>
      <c r="BX511" s="78"/>
      <c r="BY511" s="78"/>
      <c r="BZ511" s="78"/>
      <c r="CA511" s="78"/>
      <c r="CB511" s="78"/>
      <c r="CC511" s="78"/>
      <c r="CD511" s="78"/>
    </row>
    <row r="512">
      <c r="A512" s="10"/>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10"/>
      <c r="BV512" s="78"/>
      <c r="BW512" s="78"/>
      <c r="BX512" s="78"/>
      <c r="BY512" s="78"/>
      <c r="BZ512" s="78"/>
      <c r="CA512" s="78"/>
      <c r="CB512" s="78"/>
      <c r="CC512" s="78"/>
      <c r="CD512" s="78"/>
    </row>
    <row r="513">
      <c r="A513" s="10"/>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10"/>
      <c r="BV513" s="78"/>
      <c r="BW513" s="78"/>
      <c r="BX513" s="78"/>
      <c r="BY513" s="78"/>
      <c r="BZ513" s="78"/>
      <c r="CA513" s="78"/>
      <c r="CB513" s="78"/>
      <c r="CC513" s="78"/>
      <c r="CD513" s="78"/>
    </row>
    <row r="514">
      <c r="A514" s="10"/>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10"/>
      <c r="BV514" s="78"/>
      <c r="BW514" s="78"/>
      <c r="BX514" s="78"/>
      <c r="BY514" s="78"/>
      <c r="BZ514" s="78"/>
      <c r="CA514" s="78"/>
      <c r="CB514" s="78"/>
      <c r="CC514" s="78"/>
      <c r="CD514" s="78"/>
    </row>
    <row r="515">
      <c r="A515" s="10"/>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10"/>
      <c r="BV515" s="78"/>
      <c r="BW515" s="78"/>
      <c r="BX515" s="78"/>
      <c r="BY515" s="78"/>
      <c r="BZ515" s="78"/>
      <c r="CA515" s="78"/>
      <c r="CB515" s="78"/>
      <c r="CC515" s="78"/>
      <c r="CD515" s="78"/>
    </row>
    <row r="516">
      <c r="A516" s="10"/>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10"/>
      <c r="BV516" s="78"/>
      <c r="BW516" s="78"/>
      <c r="BX516" s="78"/>
      <c r="BY516" s="78"/>
      <c r="BZ516" s="78"/>
      <c r="CA516" s="78"/>
      <c r="CB516" s="78"/>
      <c r="CC516" s="78"/>
      <c r="CD516" s="78"/>
    </row>
    <row r="517">
      <c r="A517" s="10"/>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10"/>
      <c r="BV517" s="78"/>
      <c r="BW517" s="78"/>
      <c r="BX517" s="78"/>
      <c r="BY517" s="78"/>
      <c r="BZ517" s="78"/>
      <c r="CA517" s="78"/>
      <c r="CB517" s="78"/>
      <c r="CC517" s="78"/>
      <c r="CD517" s="78"/>
    </row>
    <row r="518">
      <c r="A518" s="10"/>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10"/>
      <c r="BV518" s="78"/>
      <c r="BW518" s="78"/>
      <c r="BX518" s="78"/>
      <c r="BY518" s="78"/>
      <c r="BZ518" s="78"/>
      <c r="CA518" s="78"/>
      <c r="CB518" s="78"/>
      <c r="CC518" s="78"/>
      <c r="CD518" s="78"/>
    </row>
    <row r="519">
      <c r="A519" s="10"/>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10"/>
      <c r="BV519" s="78"/>
      <c r="BW519" s="78"/>
      <c r="BX519" s="78"/>
      <c r="BY519" s="78"/>
      <c r="BZ519" s="78"/>
      <c r="CA519" s="78"/>
      <c r="CB519" s="78"/>
      <c r="CC519" s="78"/>
      <c r="CD519" s="78"/>
    </row>
    <row r="520">
      <c r="A520" s="10"/>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10"/>
      <c r="BV520" s="78"/>
      <c r="BW520" s="78"/>
      <c r="BX520" s="78"/>
      <c r="BY520" s="78"/>
      <c r="BZ520" s="78"/>
      <c r="CA520" s="78"/>
      <c r="CB520" s="78"/>
      <c r="CC520" s="78"/>
      <c r="CD520" s="78"/>
    </row>
    <row r="521">
      <c r="A521" s="10"/>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10"/>
      <c r="BV521" s="78"/>
      <c r="BW521" s="78"/>
      <c r="BX521" s="78"/>
      <c r="BY521" s="78"/>
      <c r="BZ521" s="78"/>
      <c r="CA521" s="78"/>
      <c r="CB521" s="78"/>
      <c r="CC521" s="78"/>
      <c r="CD521" s="78"/>
    </row>
    <row r="522">
      <c r="A522" s="10"/>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10"/>
      <c r="BV522" s="78"/>
      <c r="BW522" s="78"/>
      <c r="BX522" s="78"/>
      <c r="BY522" s="78"/>
      <c r="BZ522" s="78"/>
      <c r="CA522" s="78"/>
      <c r="CB522" s="78"/>
      <c r="CC522" s="78"/>
      <c r="CD522" s="78"/>
    </row>
    <row r="523">
      <c r="A523" s="10"/>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10"/>
      <c r="BV523" s="78"/>
      <c r="BW523" s="78"/>
      <c r="BX523" s="78"/>
      <c r="BY523" s="78"/>
      <c r="BZ523" s="78"/>
      <c r="CA523" s="78"/>
      <c r="CB523" s="78"/>
      <c r="CC523" s="78"/>
      <c r="CD523" s="78"/>
    </row>
    <row r="524">
      <c r="A524" s="10"/>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10"/>
      <c r="BV524" s="78"/>
      <c r="BW524" s="78"/>
      <c r="BX524" s="78"/>
      <c r="BY524" s="78"/>
      <c r="BZ524" s="78"/>
      <c r="CA524" s="78"/>
      <c r="CB524" s="78"/>
      <c r="CC524" s="78"/>
      <c r="CD524" s="78"/>
    </row>
    <row r="525">
      <c r="A525" s="10"/>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10"/>
      <c r="BV525" s="78"/>
      <c r="BW525" s="78"/>
      <c r="BX525" s="78"/>
      <c r="BY525" s="78"/>
      <c r="BZ525" s="78"/>
      <c r="CA525" s="78"/>
      <c r="CB525" s="78"/>
      <c r="CC525" s="78"/>
      <c r="CD525" s="78"/>
    </row>
    <row r="526">
      <c r="A526" s="10"/>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10"/>
      <c r="BV526" s="78"/>
      <c r="BW526" s="78"/>
      <c r="BX526" s="78"/>
      <c r="BY526" s="78"/>
      <c r="BZ526" s="78"/>
      <c r="CA526" s="78"/>
      <c r="CB526" s="78"/>
      <c r="CC526" s="78"/>
      <c r="CD526" s="78"/>
    </row>
    <row r="527">
      <c r="A527" s="10"/>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10"/>
      <c r="BV527" s="78"/>
      <c r="BW527" s="78"/>
      <c r="BX527" s="78"/>
      <c r="BY527" s="78"/>
      <c r="BZ527" s="78"/>
      <c r="CA527" s="78"/>
      <c r="CB527" s="78"/>
      <c r="CC527" s="78"/>
      <c r="CD527" s="78"/>
    </row>
    <row r="528">
      <c r="A528" s="10"/>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10"/>
      <c r="BV528" s="78"/>
      <c r="BW528" s="78"/>
      <c r="BX528" s="78"/>
      <c r="BY528" s="78"/>
      <c r="BZ528" s="78"/>
      <c r="CA528" s="78"/>
      <c r="CB528" s="78"/>
      <c r="CC528" s="78"/>
      <c r="CD528" s="78"/>
    </row>
    <row r="529">
      <c r="A529" s="10"/>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10"/>
      <c r="BV529" s="78"/>
      <c r="BW529" s="78"/>
      <c r="BX529" s="78"/>
      <c r="BY529" s="78"/>
      <c r="BZ529" s="78"/>
      <c r="CA529" s="78"/>
      <c r="CB529" s="78"/>
      <c r="CC529" s="78"/>
      <c r="CD529" s="78"/>
    </row>
    <row r="530">
      <c r="A530" s="10"/>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10"/>
      <c r="BV530" s="78"/>
      <c r="BW530" s="78"/>
      <c r="BX530" s="78"/>
      <c r="BY530" s="78"/>
      <c r="BZ530" s="78"/>
      <c r="CA530" s="78"/>
      <c r="CB530" s="78"/>
      <c r="CC530" s="78"/>
      <c r="CD530" s="78"/>
    </row>
    <row r="531">
      <c r="A531" s="10"/>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10"/>
      <c r="BV531" s="78"/>
      <c r="BW531" s="78"/>
      <c r="BX531" s="78"/>
      <c r="BY531" s="78"/>
      <c r="BZ531" s="78"/>
      <c r="CA531" s="78"/>
      <c r="CB531" s="78"/>
      <c r="CC531" s="78"/>
      <c r="CD531" s="78"/>
    </row>
    <row r="532">
      <c r="A532" s="10"/>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10"/>
      <c r="BV532" s="78"/>
      <c r="BW532" s="78"/>
      <c r="BX532" s="78"/>
      <c r="BY532" s="78"/>
      <c r="BZ532" s="78"/>
      <c r="CA532" s="78"/>
      <c r="CB532" s="78"/>
      <c r="CC532" s="78"/>
      <c r="CD532" s="78"/>
    </row>
    <row r="533">
      <c r="A533" s="10"/>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10"/>
      <c r="BV533" s="78"/>
      <c r="BW533" s="78"/>
      <c r="BX533" s="78"/>
      <c r="BY533" s="78"/>
      <c r="BZ533" s="78"/>
      <c r="CA533" s="78"/>
      <c r="CB533" s="78"/>
      <c r="CC533" s="78"/>
      <c r="CD533" s="78"/>
    </row>
    <row r="534">
      <c r="A534" s="10"/>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10"/>
      <c r="BV534" s="78"/>
      <c r="BW534" s="78"/>
      <c r="BX534" s="78"/>
      <c r="BY534" s="78"/>
      <c r="BZ534" s="78"/>
      <c r="CA534" s="78"/>
      <c r="CB534" s="78"/>
      <c r="CC534" s="78"/>
      <c r="CD534" s="78"/>
    </row>
    <row r="535">
      <c r="A535" s="10"/>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10"/>
      <c r="BV535" s="78"/>
      <c r="BW535" s="78"/>
      <c r="BX535" s="78"/>
      <c r="BY535" s="78"/>
      <c r="BZ535" s="78"/>
      <c r="CA535" s="78"/>
      <c r="CB535" s="78"/>
      <c r="CC535" s="78"/>
      <c r="CD535" s="78"/>
    </row>
    <row r="536">
      <c r="A536" s="10"/>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10"/>
      <c r="BV536" s="78"/>
      <c r="BW536" s="78"/>
      <c r="BX536" s="78"/>
      <c r="BY536" s="78"/>
      <c r="BZ536" s="78"/>
      <c r="CA536" s="78"/>
      <c r="CB536" s="78"/>
      <c r="CC536" s="78"/>
      <c r="CD536" s="78"/>
    </row>
    <row r="537">
      <c r="A537" s="10"/>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10"/>
      <c r="BV537" s="78"/>
      <c r="BW537" s="78"/>
      <c r="BX537" s="78"/>
      <c r="BY537" s="78"/>
      <c r="BZ537" s="78"/>
      <c r="CA537" s="78"/>
      <c r="CB537" s="78"/>
      <c r="CC537" s="78"/>
      <c r="CD537" s="78"/>
    </row>
    <row r="538">
      <c r="A538" s="10"/>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10"/>
      <c r="BV538" s="78"/>
      <c r="BW538" s="78"/>
      <c r="BX538" s="78"/>
      <c r="BY538" s="78"/>
      <c r="BZ538" s="78"/>
      <c r="CA538" s="78"/>
      <c r="CB538" s="78"/>
      <c r="CC538" s="78"/>
      <c r="CD538" s="78"/>
    </row>
    <row r="539">
      <c r="A539" s="10"/>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10"/>
      <c r="BV539" s="78"/>
      <c r="BW539" s="78"/>
      <c r="BX539" s="78"/>
      <c r="BY539" s="78"/>
      <c r="BZ539" s="78"/>
      <c r="CA539" s="78"/>
      <c r="CB539" s="78"/>
      <c r="CC539" s="78"/>
      <c r="CD539" s="78"/>
    </row>
    <row r="540">
      <c r="A540" s="10"/>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10"/>
      <c r="BV540" s="78"/>
      <c r="BW540" s="78"/>
      <c r="BX540" s="78"/>
      <c r="BY540" s="78"/>
      <c r="BZ540" s="78"/>
      <c r="CA540" s="78"/>
      <c r="CB540" s="78"/>
      <c r="CC540" s="78"/>
      <c r="CD540" s="78"/>
    </row>
    <row r="541">
      <c r="A541" s="10"/>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10"/>
      <c r="BV541" s="78"/>
      <c r="BW541" s="78"/>
      <c r="BX541" s="78"/>
      <c r="BY541" s="78"/>
      <c r="BZ541" s="78"/>
      <c r="CA541" s="78"/>
      <c r="CB541" s="78"/>
      <c r="CC541" s="78"/>
      <c r="CD541" s="78"/>
    </row>
    <row r="542">
      <c r="A542" s="10"/>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10"/>
      <c r="BV542" s="78"/>
      <c r="BW542" s="78"/>
      <c r="BX542" s="78"/>
      <c r="BY542" s="78"/>
      <c r="BZ542" s="78"/>
      <c r="CA542" s="78"/>
      <c r="CB542" s="78"/>
      <c r="CC542" s="78"/>
      <c r="CD542" s="78"/>
    </row>
    <row r="543">
      <c r="A543" s="10"/>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10"/>
      <c r="BV543" s="78"/>
      <c r="BW543" s="78"/>
      <c r="BX543" s="78"/>
      <c r="BY543" s="78"/>
      <c r="BZ543" s="78"/>
      <c r="CA543" s="78"/>
      <c r="CB543" s="78"/>
      <c r="CC543" s="78"/>
      <c r="CD543" s="78"/>
    </row>
    <row r="544">
      <c r="A544" s="10"/>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10"/>
      <c r="BV544" s="78"/>
      <c r="BW544" s="78"/>
      <c r="BX544" s="78"/>
      <c r="BY544" s="78"/>
      <c r="BZ544" s="78"/>
      <c r="CA544" s="78"/>
      <c r="CB544" s="78"/>
      <c r="CC544" s="78"/>
      <c r="CD544" s="78"/>
    </row>
    <row r="545">
      <c r="A545" s="10"/>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10"/>
      <c r="BV545" s="78"/>
      <c r="BW545" s="78"/>
      <c r="BX545" s="78"/>
      <c r="BY545" s="78"/>
      <c r="BZ545" s="78"/>
      <c r="CA545" s="78"/>
      <c r="CB545" s="78"/>
      <c r="CC545" s="78"/>
      <c r="CD545" s="78"/>
    </row>
    <row r="546">
      <c r="A546" s="10"/>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10"/>
      <c r="BV546" s="78"/>
      <c r="BW546" s="78"/>
      <c r="BX546" s="78"/>
      <c r="BY546" s="78"/>
      <c r="BZ546" s="78"/>
      <c r="CA546" s="78"/>
      <c r="CB546" s="78"/>
      <c r="CC546" s="78"/>
      <c r="CD546" s="78"/>
    </row>
    <row r="547">
      <c r="A547" s="10"/>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10"/>
      <c r="BV547" s="78"/>
      <c r="BW547" s="78"/>
      <c r="BX547" s="78"/>
      <c r="BY547" s="78"/>
      <c r="BZ547" s="78"/>
      <c r="CA547" s="78"/>
      <c r="CB547" s="78"/>
      <c r="CC547" s="78"/>
      <c r="CD547" s="78"/>
    </row>
    <row r="548">
      <c r="A548" s="10"/>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10"/>
      <c r="BV548" s="78"/>
      <c r="BW548" s="78"/>
      <c r="BX548" s="78"/>
      <c r="BY548" s="78"/>
      <c r="BZ548" s="78"/>
      <c r="CA548" s="78"/>
      <c r="CB548" s="78"/>
      <c r="CC548" s="78"/>
      <c r="CD548" s="78"/>
    </row>
    <row r="549">
      <c r="A549" s="10"/>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10"/>
      <c r="BV549" s="78"/>
      <c r="BW549" s="78"/>
      <c r="BX549" s="78"/>
      <c r="BY549" s="78"/>
      <c r="BZ549" s="78"/>
      <c r="CA549" s="78"/>
      <c r="CB549" s="78"/>
      <c r="CC549" s="78"/>
      <c r="CD549" s="78"/>
    </row>
    <row r="550">
      <c r="A550" s="10"/>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10"/>
      <c r="BV550" s="78"/>
      <c r="BW550" s="78"/>
      <c r="BX550" s="78"/>
      <c r="BY550" s="78"/>
      <c r="BZ550" s="78"/>
      <c r="CA550" s="78"/>
      <c r="CB550" s="78"/>
      <c r="CC550" s="78"/>
      <c r="CD550" s="78"/>
    </row>
    <row r="551">
      <c r="A551" s="10"/>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10"/>
      <c r="BV551" s="78"/>
      <c r="BW551" s="78"/>
      <c r="BX551" s="78"/>
      <c r="BY551" s="78"/>
      <c r="BZ551" s="78"/>
      <c r="CA551" s="78"/>
      <c r="CB551" s="78"/>
      <c r="CC551" s="78"/>
      <c r="CD551" s="78"/>
    </row>
    <row r="552">
      <c r="A552" s="10"/>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10"/>
      <c r="BV552" s="78"/>
      <c r="BW552" s="78"/>
      <c r="BX552" s="78"/>
      <c r="BY552" s="78"/>
      <c r="BZ552" s="78"/>
      <c r="CA552" s="78"/>
      <c r="CB552" s="78"/>
      <c r="CC552" s="78"/>
      <c r="CD552" s="78"/>
    </row>
    <row r="553">
      <c r="A553" s="10"/>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10"/>
      <c r="BV553" s="78"/>
      <c r="BW553" s="78"/>
      <c r="BX553" s="78"/>
      <c r="BY553" s="78"/>
      <c r="BZ553" s="78"/>
      <c r="CA553" s="78"/>
      <c r="CB553" s="78"/>
      <c r="CC553" s="78"/>
      <c r="CD553" s="78"/>
    </row>
    <row r="554">
      <c r="A554" s="10"/>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10"/>
      <c r="BV554" s="78"/>
      <c r="BW554" s="78"/>
      <c r="BX554" s="78"/>
      <c r="BY554" s="78"/>
      <c r="BZ554" s="78"/>
      <c r="CA554" s="78"/>
      <c r="CB554" s="78"/>
      <c r="CC554" s="78"/>
      <c r="CD554" s="78"/>
    </row>
    <row r="555">
      <c r="A555" s="10"/>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10"/>
      <c r="BV555" s="78"/>
      <c r="BW555" s="78"/>
      <c r="BX555" s="78"/>
      <c r="BY555" s="78"/>
      <c r="BZ555" s="78"/>
      <c r="CA555" s="78"/>
      <c r="CB555" s="78"/>
      <c r="CC555" s="78"/>
      <c r="CD555" s="78"/>
    </row>
    <row r="556">
      <c r="A556" s="10"/>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10"/>
      <c r="BV556" s="78"/>
      <c r="BW556" s="78"/>
      <c r="BX556" s="78"/>
      <c r="BY556" s="78"/>
      <c r="BZ556" s="78"/>
      <c r="CA556" s="78"/>
      <c r="CB556" s="78"/>
      <c r="CC556" s="78"/>
      <c r="CD556" s="78"/>
    </row>
    <row r="557">
      <c r="A557" s="10"/>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10"/>
      <c r="BV557" s="78"/>
      <c r="BW557" s="78"/>
      <c r="BX557" s="78"/>
      <c r="BY557" s="78"/>
      <c r="BZ557" s="78"/>
      <c r="CA557" s="78"/>
      <c r="CB557" s="78"/>
      <c r="CC557" s="78"/>
      <c r="CD557" s="78"/>
    </row>
    <row r="558">
      <c r="A558" s="10"/>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10"/>
      <c r="BV558" s="78"/>
      <c r="BW558" s="78"/>
      <c r="BX558" s="78"/>
      <c r="BY558" s="78"/>
      <c r="BZ558" s="78"/>
      <c r="CA558" s="78"/>
      <c r="CB558" s="78"/>
      <c r="CC558" s="78"/>
      <c r="CD558" s="78"/>
    </row>
    <row r="559">
      <c r="A559" s="10"/>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10"/>
      <c r="BV559" s="78"/>
      <c r="BW559" s="78"/>
      <c r="BX559" s="78"/>
      <c r="BY559" s="78"/>
      <c r="BZ559" s="78"/>
      <c r="CA559" s="78"/>
      <c r="CB559" s="78"/>
      <c r="CC559" s="78"/>
      <c r="CD559" s="78"/>
    </row>
    <row r="560">
      <c r="A560" s="10"/>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10"/>
      <c r="BV560" s="78"/>
      <c r="BW560" s="78"/>
      <c r="BX560" s="78"/>
      <c r="BY560" s="78"/>
      <c r="BZ560" s="78"/>
      <c r="CA560" s="78"/>
      <c r="CB560" s="78"/>
      <c r="CC560" s="78"/>
      <c r="CD560" s="78"/>
    </row>
    <row r="561">
      <c r="A561" s="10"/>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10"/>
      <c r="BV561" s="78"/>
      <c r="BW561" s="78"/>
      <c r="BX561" s="78"/>
      <c r="BY561" s="78"/>
      <c r="BZ561" s="78"/>
      <c r="CA561" s="78"/>
      <c r="CB561" s="78"/>
      <c r="CC561" s="78"/>
      <c r="CD561" s="78"/>
    </row>
    <row r="562">
      <c r="A562" s="10"/>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10"/>
      <c r="BV562" s="78"/>
      <c r="BW562" s="78"/>
      <c r="BX562" s="78"/>
      <c r="BY562" s="78"/>
      <c r="BZ562" s="78"/>
      <c r="CA562" s="78"/>
      <c r="CB562" s="78"/>
      <c r="CC562" s="78"/>
      <c r="CD562" s="78"/>
    </row>
    <row r="563">
      <c r="A563" s="10"/>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10"/>
      <c r="BV563" s="78"/>
      <c r="BW563" s="78"/>
      <c r="BX563" s="78"/>
      <c r="BY563" s="78"/>
      <c r="BZ563" s="78"/>
      <c r="CA563" s="78"/>
      <c r="CB563" s="78"/>
      <c r="CC563" s="78"/>
      <c r="CD563" s="78"/>
    </row>
    <row r="564">
      <c r="A564" s="10"/>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10"/>
      <c r="BV564" s="78"/>
      <c r="BW564" s="78"/>
      <c r="BX564" s="78"/>
      <c r="BY564" s="78"/>
      <c r="BZ564" s="78"/>
      <c r="CA564" s="78"/>
      <c r="CB564" s="78"/>
      <c r="CC564" s="78"/>
      <c r="CD564" s="78"/>
    </row>
    <row r="565">
      <c r="A565" s="10"/>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10"/>
      <c r="BV565" s="78"/>
      <c r="BW565" s="78"/>
      <c r="BX565" s="78"/>
      <c r="BY565" s="78"/>
      <c r="BZ565" s="78"/>
      <c r="CA565" s="78"/>
      <c r="CB565" s="78"/>
      <c r="CC565" s="78"/>
      <c r="CD565" s="78"/>
    </row>
    <row r="566">
      <c r="A566" s="10"/>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10"/>
      <c r="BV566" s="78"/>
      <c r="BW566" s="78"/>
      <c r="BX566" s="78"/>
      <c r="BY566" s="78"/>
      <c r="BZ566" s="78"/>
      <c r="CA566" s="78"/>
      <c r="CB566" s="78"/>
      <c r="CC566" s="78"/>
      <c r="CD566" s="78"/>
    </row>
    <row r="567">
      <c r="A567" s="10"/>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10"/>
      <c r="BV567" s="78"/>
      <c r="BW567" s="78"/>
      <c r="BX567" s="78"/>
      <c r="BY567" s="78"/>
      <c r="BZ567" s="78"/>
      <c r="CA567" s="78"/>
      <c r="CB567" s="78"/>
      <c r="CC567" s="78"/>
      <c r="CD567" s="78"/>
    </row>
    <row r="568">
      <c r="A568" s="10"/>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10"/>
      <c r="BV568" s="78"/>
      <c r="BW568" s="78"/>
      <c r="BX568" s="78"/>
      <c r="BY568" s="78"/>
      <c r="BZ568" s="78"/>
      <c r="CA568" s="78"/>
      <c r="CB568" s="78"/>
      <c r="CC568" s="78"/>
      <c r="CD568" s="78"/>
    </row>
    <row r="569">
      <c r="A569" s="10"/>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10"/>
      <c r="BV569" s="78"/>
      <c r="BW569" s="78"/>
      <c r="BX569" s="78"/>
      <c r="BY569" s="78"/>
      <c r="BZ569" s="78"/>
      <c r="CA569" s="78"/>
      <c r="CB569" s="78"/>
      <c r="CC569" s="78"/>
      <c r="CD569" s="78"/>
    </row>
    <row r="570">
      <c r="A570" s="10"/>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10"/>
      <c r="BV570" s="78"/>
      <c r="BW570" s="78"/>
      <c r="BX570" s="78"/>
      <c r="BY570" s="78"/>
      <c r="BZ570" s="78"/>
      <c r="CA570" s="78"/>
      <c r="CB570" s="78"/>
      <c r="CC570" s="78"/>
      <c r="CD570" s="78"/>
    </row>
    <row r="571">
      <c r="A571" s="10"/>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10"/>
      <c r="BV571" s="78"/>
      <c r="BW571" s="78"/>
      <c r="BX571" s="78"/>
      <c r="BY571" s="78"/>
      <c r="BZ571" s="78"/>
      <c r="CA571" s="78"/>
      <c r="CB571" s="78"/>
      <c r="CC571" s="78"/>
      <c r="CD571" s="78"/>
    </row>
    <row r="572">
      <c r="A572" s="10"/>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10"/>
      <c r="BV572" s="78"/>
      <c r="BW572" s="78"/>
      <c r="BX572" s="78"/>
      <c r="BY572" s="78"/>
      <c r="BZ572" s="78"/>
      <c r="CA572" s="78"/>
      <c r="CB572" s="78"/>
      <c r="CC572" s="78"/>
      <c r="CD572" s="78"/>
    </row>
    <row r="573">
      <c r="A573" s="10"/>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10"/>
      <c r="BV573" s="78"/>
      <c r="BW573" s="78"/>
      <c r="BX573" s="78"/>
      <c r="BY573" s="78"/>
      <c r="BZ573" s="78"/>
      <c r="CA573" s="78"/>
      <c r="CB573" s="78"/>
      <c r="CC573" s="78"/>
      <c r="CD573" s="78"/>
    </row>
    <row r="574">
      <c r="A574" s="10"/>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10"/>
      <c r="BV574" s="78"/>
      <c r="BW574" s="78"/>
      <c r="BX574" s="78"/>
      <c r="BY574" s="78"/>
      <c r="BZ574" s="78"/>
      <c r="CA574" s="78"/>
      <c r="CB574" s="78"/>
      <c r="CC574" s="78"/>
      <c r="CD574" s="78"/>
    </row>
    <row r="575">
      <c r="A575" s="10"/>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10"/>
      <c r="BV575" s="78"/>
      <c r="BW575" s="78"/>
      <c r="BX575" s="78"/>
      <c r="BY575" s="78"/>
      <c r="BZ575" s="78"/>
      <c r="CA575" s="78"/>
      <c r="CB575" s="78"/>
      <c r="CC575" s="78"/>
      <c r="CD575" s="78"/>
    </row>
    <row r="576">
      <c r="A576" s="10"/>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10"/>
      <c r="BV576" s="78"/>
      <c r="BW576" s="78"/>
      <c r="BX576" s="78"/>
      <c r="BY576" s="78"/>
      <c r="BZ576" s="78"/>
      <c r="CA576" s="78"/>
      <c r="CB576" s="78"/>
      <c r="CC576" s="78"/>
      <c r="CD576" s="78"/>
    </row>
    <row r="577">
      <c r="A577" s="10"/>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10"/>
      <c r="BV577" s="78"/>
      <c r="BW577" s="78"/>
      <c r="BX577" s="78"/>
      <c r="BY577" s="78"/>
      <c r="BZ577" s="78"/>
      <c r="CA577" s="78"/>
      <c r="CB577" s="78"/>
      <c r="CC577" s="78"/>
      <c r="CD577" s="78"/>
    </row>
    <row r="578">
      <c r="A578" s="10"/>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10"/>
      <c r="BV578" s="78"/>
      <c r="BW578" s="78"/>
      <c r="BX578" s="78"/>
      <c r="BY578" s="78"/>
      <c r="BZ578" s="78"/>
      <c r="CA578" s="78"/>
      <c r="CB578" s="78"/>
      <c r="CC578" s="78"/>
      <c r="CD578" s="78"/>
    </row>
    <row r="579">
      <c r="A579" s="10"/>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10"/>
      <c r="BV579" s="78"/>
      <c r="BW579" s="78"/>
      <c r="BX579" s="78"/>
      <c r="BY579" s="78"/>
      <c r="BZ579" s="78"/>
      <c r="CA579" s="78"/>
      <c r="CB579" s="78"/>
      <c r="CC579" s="78"/>
      <c r="CD579" s="78"/>
    </row>
    <row r="580">
      <c r="A580" s="10"/>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10"/>
      <c r="BV580" s="78"/>
      <c r="BW580" s="78"/>
      <c r="BX580" s="78"/>
      <c r="BY580" s="78"/>
      <c r="BZ580" s="78"/>
      <c r="CA580" s="78"/>
      <c r="CB580" s="78"/>
      <c r="CC580" s="78"/>
      <c r="CD580" s="78"/>
    </row>
    <row r="581">
      <c r="A581" s="10"/>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10"/>
      <c r="BV581" s="78"/>
      <c r="BW581" s="78"/>
      <c r="BX581" s="78"/>
      <c r="BY581" s="78"/>
      <c r="BZ581" s="78"/>
      <c r="CA581" s="78"/>
      <c r="CB581" s="78"/>
      <c r="CC581" s="78"/>
      <c r="CD581" s="78"/>
    </row>
    <row r="582">
      <c r="A582" s="10"/>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10"/>
      <c r="BV582" s="78"/>
      <c r="BW582" s="78"/>
      <c r="BX582" s="78"/>
      <c r="BY582" s="78"/>
      <c r="BZ582" s="78"/>
      <c r="CA582" s="78"/>
      <c r="CB582" s="78"/>
      <c r="CC582" s="78"/>
      <c r="CD582" s="78"/>
    </row>
    <row r="583">
      <c r="A583" s="10"/>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10"/>
      <c r="BV583" s="78"/>
      <c r="BW583" s="78"/>
      <c r="BX583" s="78"/>
      <c r="BY583" s="78"/>
      <c r="BZ583" s="78"/>
      <c r="CA583" s="78"/>
      <c r="CB583" s="78"/>
      <c r="CC583" s="78"/>
      <c r="CD583" s="78"/>
    </row>
    <row r="584">
      <c r="A584" s="10"/>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10"/>
      <c r="BV584" s="78"/>
      <c r="BW584" s="78"/>
      <c r="BX584" s="78"/>
      <c r="BY584" s="78"/>
      <c r="BZ584" s="78"/>
      <c r="CA584" s="78"/>
      <c r="CB584" s="78"/>
      <c r="CC584" s="78"/>
      <c r="CD584" s="78"/>
    </row>
    <row r="585">
      <c r="A585" s="10"/>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10"/>
      <c r="BV585" s="78"/>
      <c r="BW585" s="78"/>
      <c r="BX585" s="78"/>
      <c r="BY585" s="78"/>
      <c r="BZ585" s="78"/>
      <c r="CA585" s="78"/>
      <c r="CB585" s="78"/>
      <c r="CC585" s="78"/>
      <c r="CD585" s="78"/>
    </row>
    <row r="586">
      <c r="A586" s="10"/>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10"/>
      <c r="BV586" s="78"/>
      <c r="BW586" s="78"/>
      <c r="BX586" s="78"/>
      <c r="BY586" s="78"/>
      <c r="BZ586" s="78"/>
      <c r="CA586" s="78"/>
      <c r="CB586" s="78"/>
      <c r="CC586" s="78"/>
      <c r="CD586" s="78"/>
    </row>
    <row r="587">
      <c r="A587" s="10"/>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10"/>
      <c r="BV587" s="78"/>
      <c r="BW587" s="78"/>
      <c r="BX587" s="78"/>
      <c r="BY587" s="78"/>
      <c r="BZ587" s="78"/>
      <c r="CA587" s="78"/>
      <c r="CB587" s="78"/>
      <c r="CC587" s="78"/>
      <c r="CD587" s="78"/>
    </row>
    <row r="588">
      <c r="A588" s="10"/>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10"/>
      <c r="BV588" s="78"/>
      <c r="BW588" s="78"/>
      <c r="BX588" s="78"/>
      <c r="BY588" s="78"/>
      <c r="BZ588" s="78"/>
      <c r="CA588" s="78"/>
      <c r="CB588" s="78"/>
      <c r="CC588" s="78"/>
      <c r="CD588" s="78"/>
    </row>
    <row r="589">
      <c r="A589" s="10"/>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10"/>
      <c r="BV589" s="78"/>
      <c r="BW589" s="78"/>
      <c r="BX589" s="78"/>
      <c r="BY589" s="78"/>
      <c r="BZ589" s="78"/>
      <c r="CA589" s="78"/>
      <c r="CB589" s="78"/>
      <c r="CC589" s="78"/>
      <c r="CD589" s="78"/>
    </row>
    <row r="590">
      <c r="A590" s="10"/>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10"/>
      <c r="BV590" s="78"/>
      <c r="BW590" s="78"/>
      <c r="BX590" s="78"/>
      <c r="BY590" s="78"/>
      <c r="BZ590" s="78"/>
      <c r="CA590" s="78"/>
      <c r="CB590" s="78"/>
      <c r="CC590" s="78"/>
      <c r="CD590" s="78"/>
    </row>
    <row r="591">
      <c r="A591" s="10"/>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10"/>
      <c r="BV591" s="78"/>
      <c r="BW591" s="78"/>
      <c r="BX591" s="78"/>
      <c r="BY591" s="78"/>
      <c r="BZ591" s="78"/>
      <c r="CA591" s="78"/>
      <c r="CB591" s="78"/>
      <c r="CC591" s="78"/>
      <c r="CD591" s="78"/>
    </row>
    <row r="592">
      <c r="A592" s="10"/>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10"/>
      <c r="BV592" s="78"/>
      <c r="BW592" s="78"/>
      <c r="BX592" s="78"/>
      <c r="BY592" s="78"/>
      <c r="BZ592" s="78"/>
      <c r="CA592" s="78"/>
      <c r="CB592" s="78"/>
      <c r="CC592" s="78"/>
      <c r="CD592" s="78"/>
    </row>
    <row r="593">
      <c r="A593" s="10"/>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10"/>
      <c r="BV593" s="78"/>
      <c r="BW593" s="78"/>
      <c r="BX593" s="78"/>
      <c r="BY593" s="78"/>
      <c r="BZ593" s="78"/>
      <c r="CA593" s="78"/>
      <c r="CB593" s="78"/>
      <c r="CC593" s="78"/>
      <c r="CD593" s="78"/>
    </row>
    <row r="594">
      <c r="A594" s="10"/>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10"/>
      <c r="BV594" s="78"/>
      <c r="BW594" s="78"/>
      <c r="BX594" s="78"/>
      <c r="BY594" s="78"/>
      <c r="BZ594" s="78"/>
      <c r="CA594" s="78"/>
      <c r="CB594" s="78"/>
      <c r="CC594" s="78"/>
      <c r="CD594" s="78"/>
    </row>
    <row r="595">
      <c r="A595" s="10"/>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10"/>
      <c r="BV595" s="78"/>
      <c r="BW595" s="78"/>
      <c r="BX595" s="78"/>
      <c r="BY595" s="78"/>
      <c r="BZ595" s="78"/>
      <c r="CA595" s="78"/>
      <c r="CB595" s="78"/>
      <c r="CC595" s="78"/>
      <c r="CD595" s="78"/>
    </row>
    <row r="596">
      <c r="A596" s="10"/>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10"/>
      <c r="BV596" s="78"/>
      <c r="BW596" s="78"/>
      <c r="BX596" s="78"/>
      <c r="BY596" s="78"/>
      <c r="BZ596" s="78"/>
      <c r="CA596" s="78"/>
      <c r="CB596" s="78"/>
      <c r="CC596" s="78"/>
      <c r="CD596" s="78"/>
    </row>
    <row r="597">
      <c r="A597" s="10"/>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10"/>
      <c r="BV597" s="78"/>
      <c r="BW597" s="78"/>
      <c r="BX597" s="78"/>
      <c r="BY597" s="78"/>
      <c r="BZ597" s="78"/>
      <c r="CA597" s="78"/>
      <c r="CB597" s="78"/>
      <c r="CC597" s="78"/>
      <c r="CD597" s="78"/>
    </row>
    <row r="598">
      <c r="A598" s="10"/>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10"/>
      <c r="BV598" s="78"/>
      <c r="BW598" s="78"/>
      <c r="BX598" s="78"/>
      <c r="BY598" s="78"/>
      <c r="BZ598" s="78"/>
      <c r="CA598" s="78"/>
      <c r="CB598" s="78"/>
      <c r="CC598" s="78"/>
      <c r="CD598" s="78"/>
    </row>
    <row r="599">
      <c r="A599" s="10"/>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10"/>
      <c r="BV599" s="78"/>
      <c r="BW599" s="78"/>
      <c r="BX599" s="78"/>
      <c r="BY599" s="78"/>
      <c r="BZ599" s="78"/>
      <c r="CA599" s="78"/>
      <c r="CB599" s="78"/>
      <c r="CC599" s="78"/>
      <c r="CD599" s="78"/>
    </row>
    <row r="600">
      <c r="A600" s="10"/>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10"/>
      <c r="BV600" s="78"/>
      <c r="BW600" s="78"/>
      <c r="BX600" s="78"/>
      <c r="BY600" s="78"/>
      <c r="BZ600" s="78"/>
      <c r="CA600" s="78"/>
      <c r="CB600" s="78"/>
      <c r="CC600" s="78"/>
      <c r="CD600" s="78"/>
    </row>
    <row r="601">
      <c r="A601" s="10"/>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10"/>
      <c r="BV601" s="78"/>
      <c r="BW601" s="78"/>
      <c r="BX601" s="78"/>
      <c r="BY601" s="78"/>
      <c r="BZ601" s="78"/>
      <c r="CA601" s="78"/>
      <c r="CB601" s="78"/>
      <c r="CC601" s="78"/>
      <c r="CD601" s="78"/>
    </row>
    <row r="602">
      <c r="A602" s="10"/>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10"/>
      <c r="BV602" s="78"/>
      <c r="BW602" s="78"/>
      <c r="BX602" s="78"/>
      <c r="BY602" s="78"/>
      <c r="BZ602" s="78"/>
      <c r="CA602" s="78"/>
      <c r="CB602" s="78"/>
      <c r="CC602" s="78"/>
      <c r="CD602" s="78"/>
    </row>
    <row r="603">
      <c r="A603" s="10"/>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10"/>
      <c r="BV603" s="78"/>
      <c r="BW603" s="78"/>
      <c r="BX603" s="78"/>
      <c r="BY603" s="78"/>
      <c r="BZ603" s="78"/>
      <c r="CA603" s="78"/>
      <c r="CB603" s="78"/>
      <c r="CC603" s="78"/>
      <c r="CD603" s="78"/>
    </row>
    <row r="604">
      <c r="A604" s="10"/>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10"/>
      <c r="BV604" s="78"/>
      <c r="BW604" s="78"/>
      <c r="BX604" s="78"/>
      <c r="BY604" s="78"/>
      <c r="BZ604" s="78"/>
      <c r="CA604" s="78"/>
      <c r="CB604" s="78"/>
      <c r="CC604" s="78"/>
      <c r="CD604" s="78"/>
    </row>
    <row r="605">
      <c r="A605" s="10"/>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10"/>
      <c r="BV605" s="78"/>
      <c r="BW605" s="78"/>
      <c r="BX605" s="78"/>
      <c r="BY605" s="78"/>
      <c r="BZ605" s="78"/>
      <c r="CA605" s="78"/>
      <c r="CB605" s="78"/>
      <c r="CC605" s="78"/>
      <c r="CD605" s="78"/>
    </row>
    <row r="606">
      <c r="A606" s="10"/>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10"/>
      <c r="BV606" s="78"/>
      <c r="BW606" s="78"/>
      <c r="BX606" s="78"/>
      <c r="BY606" s="78"/>
      <c r="BZ606" s="78"/>
      <c r="CA606" s="78"/>
      <c r="CB606" s="78"/>
      <c r="CC606" s="78"/>
      <c r="CD606" s="78"/>
    </row>
    <row r="607">
      <c r="A607" s="10"/>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10"/>
      <c r="BV607" s="78"/>
      <c r="BW607" s="78"/>
      <c r="BX607" s="78"/>
      <c r="BY607" s="78"/>
      <c r="BZ607" s="78"/>
      <c r="CA607" s="78"/>
      <c r="CB607" s="78"/>
      <c r="CC607" s="78"/>
      <c r="CD607" s="78"/>
    </row>
    <row r="608">
      <c r="A608" s="10"/>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10"/>
      <c r="BV608" s="78"/>
      <c r="BW608" s="78"/>
      <c r="BX608" s="78"/>
      <c r="BY608" s="78"/>
      <c r="BZ608" s="78"/>
      <c r="CA608" s="78"/>
      <c r="CB608" s="78"/>
      <c r="CC608" s="78"/>
      <c r="CD608" s="78"/>
    </row>
    <row r="609">
      <c r="A609" s="10"/>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10"/>
      <c r="BV609" s="78"/>
      <c r="BW609" s="78"/>
      <c r="BX609" s="78"/>
      <c r="BY609" s="78"/>
      <c r="BZ609" s="78"/>
      <c r="CA609" s="78"/>
      <c r="CB609" s="78"/>
      <c r="CC609" s="78"/>
      <c r="CD609" s="78"/>
    </row>
    <row r="610">
      <c r="A610" s="10"/>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10"/>
      <c r="BV610" s="78"/>
      <c r="BW610" s="78"/>
      <c r="BX610" s="78"/>
      <c r="BY610" s="78"/>
      <c r="BZ610" s="78"/>
      <c r="CA610" s="78"/>
      <c r="CB610" s="78"/>
      <c r="CC610" s="78"/>
      <c r="CD610" s="78"/>
    </row>
    <row r="611">
      <c r="A611" s="10"/>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10"/>
      <c r="BV611" s="78"/>
      <c r="BW611" s="78"/>
      <c r="BX611" s="78"/>
      <c r="BY611" s="78"/>
      <c r="BZ611" s="78"/>
      <c r="CA611" s="78"/>
      <c r="CB611" s="78"/>
      <c r="CC611" s="78"/>
      <c r="CD611" s="78"/>
    </row>
    <row r="612">
      <c r="A612" s="10"/>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10"/>
      <c r="BV612" s="78"/>
      <c r="BW612" s="78"/>
      <c r="BX612" s="78"/>
      <c r="BY612" s="78"/>
      <c r="BZ612" s="78"/>
      <c r="CA612" s="78"/>
      <c r="CB612" s="78"/>
      <c r="CC612" s="78"/>
      <c r="CD612" s="78"/>
    </row>
    <row r="613">
      <c r="A613" s="10"/>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10"/>
      <c r="BV613" s="78"/>
      <c r="BW613" s="78"/>
      <c r="BX613" s="78"/>
      <c r="BY613" s="78"/>
      <c r="BZ613" s="78"/>
      <c r="CA613" s="78"/>
      <c r="CB613" s="78"/>
      <c r="CC613" s="78"/>
      <c r="CD613" s="78"/>
    </row>
    <row r="614">
      <c r="A614" s="10"/>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10"/>
      <c r="BV614" s="78"/>
      <c r="BW614" s="78"/>
      <c r="BX614" s="78"/>
      <c r="BY614" s="78"/>
      <c r="BZ614" s="78"/>
      <c r="CA614" s="78"/>
      <c r="CB614" s="78"/>
      <c r="CC614" s="78"/>
      <c r="CD614" s="78"/>
    </row>
    <row r="615">
      <c r="A615" s="10"/>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10"/>
      <c r="BV615" s="78"/>
      <c r="BW615" s="78"/>
      <c r="BX615" s="78"/>
      <c r="BY615" s="78"/>
      <c r="BZ615" s="78"/>
      <c r="CA615" s="78"/>
      <c r="CB615" s="78"/>
      <c r="CC615" s="78"/>
      <c r="CD615" s="78"/>
    </row>
    <row r="616">
      <c r="A616" s="10"/>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10"/>
      <c r="BV616" s="78"/>
      <c r="BW616" s="78"/>
      <c r="BX616" s="78"/>
      <c r="BY616" s="78"/>
      <c r="BZ616" s="78"/>
      <c r="CA616" s="78"/>
      <c r="CB616" s="78"/>
      <c r="CC616" s="78"/>
      <c r="CD616" s="78"/>
    </row>
    <row r="617">
      <c r="A617" s="10"/>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10"/>
      <c r="BV617" s="78"/>
      <c r="BW617" s="78"/>
      <c r="BX617" s="78"/>
      <c r="BY617" s="78"/>
      <c r="BZ617" s="78"/>
      <c r="CA617" s="78"/>
      <c r="CB617" s="78"/>
      <c r="CC617" s="78"/>
      <c r="CD617" s="78"/>
    </row>
    <row r="618">
      <c r="A618" s="10"/>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10"/>
      <c r="BV618" s="78"/>
      <c r="BW618" s="78"/>
      <c r="BX618" s="78"/>
      <c r="BY618" s="78"/>
      <c r="BZ618" s="78"/>
      <c r="CA618" s="78"/>
      <c r="CB618" s="78"/>
      <c r="CC618" s="78"/>
      <c r="CD618" s="78"/>
    </row>
    <row r="619">
      <c r="A619" s="10"/>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10"/>
      <c r="BV619" s="78"/>
      <c r="BW619" s="78"/>
      <c r="BX619" s="78"/>
      <c r="BY619" s="78"/>
      <c r="BZ619" s="78"/>
      <c r="CA619" s="78"/>
      <c r="CB619" s="78"/>
      <c r="CC619" s="78"/>
      <c r="CD619" s="78"/>
    </row>
    <row r="620">
      <c r="A620" s="10"/>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10"/>
      <c r="BV620" s="78"/>
      <c r="BW620" s="78"/>
      <c r="BX620" s="78"/>
      <c r="BY620" s="78"/>
      <c r="BZ620" s="78"/>
      <c r="CA620" s="78"/>
      <c r="CB620" s="78"/>
      <c r="CC620" s="78"/>
      <c r="CD620" s="78"/>
    </row>
    <row r="621">
      <c r="A621" s="10"/>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10"/>
      <c r="BV621" s="78"/>
      <c r="BW621" s="78"/>
      <c r="BX621" s="78"/>
      <c r="BY621" s="78"/>
      <c r="BZ621" s="78"/>
      <c r="CA621" s="78"/>
      <c r="CB621" s="78"/>
      <c r="CC621" s="78"/>
      <c r="CD621" s="78"/>
    </row>
    <row r="622">
      <c r="A622" s="10"/>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10"/>
      <c r="BV622" s="78"/>
      <c r="BW622" s="78"/>
      <c r="BX622" s="78"/>
      <c r="BY622" s="78"/>
      <c r="BZ622" s="78"/>
      <c r="CA622" s="78"/>
      <c r="CB622" s="78"/>
      <c r="CC622" s="78"/>
      <c r="CD622" s="78"/>
    </row>
    <row r="623">
      <c r="A623" s="10"/>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10"/>
      <c r="BV623" s="78"/>
      <c r="BW623" s="78"/>
      <c r="BX623" s="78"/>
      <c r="BY623" s="78"/>
      <c r="BZ623" s="78"/>
      <c r="CA623" s="78"/>
      <c r="CB623" s="78"/>
      <c r="CC623" s="78"/>
      <c r="CD623" s="78"/>
    </row>
    <row r="624">
      <c r="A624" s="10"/>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10"/>
      <c r="BV624" s="78"/>
      <c r="BW624" s="78"/>
      <c r="BX624" s="78"/>
      <c r="BY624" s="78"/>
      <c r="BZ624" s="78"/>
      <c r="CA624" s="78"/>
      <c r="CB624" s="78"/>
      <c r="CC624" s="78"/>
      <c r="CD624" s="78"/>
    </row>
    <row r="625">
      <c r="A625" s="10"/>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10"/>
      <c r="BV625" s="78"/>
      <c r="BW625" s="78"/>
      <c r="BX625" s="78"/>
      <c r="BY625" s="78"/>
      <c r="BZ625" s="78"/>
      <c r="CA625" s="78"/>
      <c r="CB625" s="78"/>
      <c r="CC625" s="78"/>
      <c r="CD625" s="78"/>
    </row>
    <row r="626">
      <c r="A626" s="10"/>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10"/>
      <c r="BV626" s="78"/>
      <c r="BW626" s="78"/>
      <c r="BX626" s="78"/>
      <c r="BY626" s="78"/>
      <c r="BZ626" s="78"/>
      <c r="CA626" s="78"/>
      <c r="CB626" s="78"/>
      <c r="CC626" s="78"/>
      <c r="CD626" s="78"/>
    </row>
    <row r="627">
      <c r="A627" s="10"/>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10"/>
      <c r="BV627" s="78"/>
      <c r="BW627" s="78"/>
      <c r="BX627" s="78"/>
      <c r="BY627" s="78"/>
      <c r="BZ627" s="78"/>
      <c r="CA627" s="78"/>
      <c r="CB627" s="78"/>
      <c r="CC627" s="78"/>
      <c r="CD627" s="78"/>
    </row>
    <row r="628">
      <c r="A628" s="10"/>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10"/>
      <c r="BV628" s="78"/>
      <c r="BW628" s="78"/>
      <c r="BX628" s="78"/>
      <c r="BY628" s="78"/>
      <c r="BZ628" s="78"/>
      <c r="CA628" s="78"/>
      <c r="CB628" s="78"/>
      <c r="CC628" s="78"/>
      <c r="CD628" s="78"/>
    </row>
    <row r="629">
      <c r="A629" s="10"/>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10"/>
      <c r="BV629" s="78"/>
      <c r="BW629" s="78"/>
      <c r="BX629" s="78"/>
      <c r="BY629" s="78"/>
      <c r="BZ629" s="78"/>
      <c r="CA629" s="78"/>
      <c r="CB629" s="78"/>
      <c r="CC629" s="78"/>
      <c r="CD629" s="78"/>
    </row>
    <row r="630">
      <c r="A630" s="10"/>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10"/>
      <c r="BV630" s="78"/>
      <c r="BW630" s="78"/>
      <c r="BX630" s="78"/>
      <c r="BY630" s="78"/>
      <c r="BZ630" s="78"/>
      <c r="CA630" s="78"/>
      <c r="CB630" s="78"/>
      <c r="CC630" s="78"/>
      <c r="CD630" s="78"/>
    </row>
    <row r="631">
      <c r="A631" s="10"/>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10"/>
      <c r="BV631" s="78"/>
      <c r="BW631" s="78"/>
      <c r="BX631" s="78"/>
      <c r="BY631" s="78"/>
      <c r="BZ631" s="78"/>
      <c r="CA631" s="78"/>
      <c r="CB631" s="78"/>
      <c r="CC631" s="78"/>
      <c r="CD631" s="78"/>
    </row>
    <row r="632">
      <c r="A632" s="10"/>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10"/>
      <c r="BV632" s="78"/>
      <c r="BW632" s="78"/>
      <c r="BX632" s="78"/>
      <c r="BY632" s="78"/>
      <c r="BZ632" s="78"/>
      <c r="CA632" s="78"/>
      <c r="CB632" s="78"/>
      <c r="CC632" s="78"/>
      <c r="CD632" s="78"/>
    </row>
    <row r="633">
      <c r="A633" s="10"/>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10"/>
      <c r="BV633" s="78"/>
      <c r="BW633" s="78"/>
      <c r="BX633" s="78"/>
      <c r="BY633" s="78"/>
      <c r="BZ633" s="78"/>
      <c r="CA633" s="78"/>
      <c r="CB633" s="78"/>
      <c r="CC633" s="78"/>
      <c r="CD633" s="78"/>
    </row>
    <row r="634">
      <c r="A634" s="10"/>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10"/>
      <c r="BV634" s="78"/>
      <c r="BW634" s="78"/>
      <c r="BX634" s="78"/>
      <c r="BY634" s="78"/>
      <c r="BZ634" s="78"/>
      <c r="CA634" s="78"/>
      <c r="CB634" s="78"/>
      <c r="CC634" s="78"/>
      <c r="CD634" s="78"/>
    </row>
    <row r="635">
      <c r="A635" s="10"/>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10"/>
      <c r="BV635" s="78"/>
      <c r="BW635" s="78"/>
      <c r="BX635" s="78"/>
      <c r="BY635" s="78"/>
      <c r="BZ635" s="78"/>
      <c r="CA635" s="78"/>
      <c r="CB635" s="78"/>
      <c r="CC635" s="78"/>
      <c r="CD635" s="78"/>
    </row>
    <row r="636">
      <c r="A636" s="10"/>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10"/>
      <c r="BV636" s="78"/>
      <c r="BW636" s="78"/>
      <c r="BX636" s="78"/>
      <c r="BY636" s="78"/>
      <c r="BZ636" s="78"/>
      <c r="CA636" s="78"/>
      <c r="CB636" s="78"/>
      <c r="CC636" s="78"/>
      <c r="CD636" s="78"/>
    </row>
    <row r="637">
      <c r="A637" s="10"/>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78"/>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10"/>
      <c r="BV637" s="78"/>
      <c r="BW637" s="78"/>
      <c r="BX637" s="78"/>
      <c r="BY637" s="78"/>
      <c r="BZ637" s="78"/>
      <c r="CA637" s="78"/>
      <c r="CB637" s="78"/>
      <c r="CC637" s="78"/>
      <c r="CD637" s="78"/>
    </row>
    <row r="638">
      <c r="A638" s="10"/>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78"/>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10"/>
      <c r="BV638" s="78"/>
      <c r="BW638" s="78"/>
      <c r="BX638" s="78"/>
      <c r="BY638" s="78"/>
      <c r="BZ638" s="78"/>
      <c r="CA638" s="78"/>
      <c r="CB638" s="78"/>
      <c r="CC638" s="78"/>
      <c r="CD638" s="78"/>
    </row>
    <row r="639">
      <c r="A639" s="10"/>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78"/>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10"/>
      <c r="BV639" s="78"/>
      <c r="BW639" s="78"/>
      <c r="BX639" s="78"/>
      <c r="BY639" s="78"/>
      <c r="BZ639" s="78"/>
      <c r="CA639" s="78"/>
      <c r="CB639" s="78"/>
      <c r="CC639" s="78"/>
      <c r="CD639" s="78"/>
    </row>
    <row r="640">
      <c r="A640" s="10"/>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78"/>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10"/>
      <c r="BV640" s="78"/>
      <c r="BW640" s="78"/>
      <c r="BX640" s="78"/>
      <c r="BY640" s="78"/>
      <c r="BZ640" s="78"/>
      <c r="CA640" s="78"/>
      <c r="CB640" s="78"/>
      <c r="CC640" s="78"/>
      <c r="CD640" s="78"/>
    </row>
    <row r="641">
      <c r="A641" s="10"/>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78"/>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10"/>
      <c r="BV641" s="78"/>
      <c r="BW641" s="78"/>
      <c r="BX641" s="78"/>
      <c r="BY641" s="78"/>
      <c r="BZ641" s="78"/>
      <c r="CA641" s="78"/>
      <c r="CB641" s="78"/>
      <c r="CC641" s="78"/>
      <c r="CD641" s="78"/>
    </row>
    <row r="642">
      <c r="A642" s="10"/>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78"/>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10"/>
      <c r="BV642" s="78"/>
      <c r="BW642" s="78"/>
      <c r="BX642" s="78"/>
      <c r="BY642" s="78"/>
      <c r="BZ642" s="78"/>
      <c r="CA642" s="78"/>
      <c r="CB642" s="78"/>
      <c r="CC642" s="78"/>
      <c r="CD642" s="78"/>
    </row>
    <row r="643">
      <c r="A643" s="10"/>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78"/>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10"/>
      <c r="BV643" s="78"/>
      <c r="BW643" s="78"/>
      <c r="BX643" s="78"/>
      <c r="BY643" s="78"/>
      <c r="BZ643" s="78"/>
      <c r="CA643" s="78"/>
      <c r="CB643" s="78"/>
      <c r="CC643" s="78"/>
      <c r="CD643" s="78"/>
    </row>
    <row r="644">
      <c r="A644" s="10"/>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78"/>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10"/>
      <c r="BV644" s="78"/>
      <c r="BW644" s="78"/>
      <c r="BX644" s="78"/>
      <c r="BY644" s="78"/>
      <c r="BZ644" s="78"/>
      <c r="CA644" s="78"/>
      <c r="CB644" s="78"/>
      <c r="CC644" s="78"/>
      <c r="CD644" s="78"/>
    </row>
    <row r="645">
      <c r="A645" s="10"/>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10"/>
      <c r="BV645" s="78"/>
      <c r="BW645" s="78"/>
      <c r="BX645" s="78"/>
      <c r="BY645" s="78"/>
      <c r="BZ645" s="78"/>
      <c r="CA645" s="78"/>
      <c r="CB645" s="78"/>
      <c r="CC645" s="78"/>
      <c r="CD645" s="78"/>
    </row>
    <row r="646">
      <c r="A646" s="10"/>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78"/>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10"/>
      <c r="BV646" s="78"/>
      <c r="BW646" s="78"/>
      <c r="BX646" s="78"/>
      <c r="BY646" s="78"/>
      <c r="BZ646" s="78"/>
      <c r="CA646" s="78"/>
      <c r="CB646" s="78"/>
      <c r="CC646" s="78"/>
      <c r="CD646" s="78"/>
    </row>
    <row r="647">
      <c r="A647" s="10"/>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78"/>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10"/>
      <c r="BV647" s="78"/>
      <c r="BW647" s="78"/>
      <c r="BX647" s="78"/>
      <c r="BY647" s="78"/>
      <c r="BZ647" s="78"/>
      <c r="CA647" s="78"/>
      <c r="CB647" s="78"/>
      <c r="CC647" s="78"/>
      <c r="CD647" s="78"/>
    </row>
    <row r="648">
      <c r="A648" s="10"/>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78"/>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10"/>
      <c r="BV648" s="78"/>
      <c r="BW648" s="78"/>
      <c r="BX648" s="78"/>
      <c r="BY648" s="78"/>
      <c r="BZ648" s="78"/>
      <c r="CA648" s="78"/>
      <c r="CB648" s="78"/>
      <c r="CC648" s="78"/>
      <c r="CD648" s="78"/>
    </row>
    <row r="649">
      <c r="A649" s="10"/>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78"/>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10"/>
      <c r="BV649" s="78"/>
      <c r="BW649" s="78"/>
      <c r="BX649" s="78"/>
      <c r="BY649" s="78"/>
      <c r="BZ649" s="78"/>
      <c r="CA649" s="78"/>
      <c r="CB649" s="78"/>
      <c r="CC649" s="78"/>
      <c r="CD649" s="78"/>
    </row>
    <row r="650">
      <c r="A650" s="10"/>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10"/>
      <c r="BV650" s="78"/>
      <c r="BW650" s="78"/>
      <c r="BX650" s="78"/>
      <c r="BY650" s="78"/>
      <c r="BZ650" s="78"/>
      <c r="CA650" s="78"/>
      <c r="CB650" s="78"/>
      <c r="CC650" s="78"/>
      <c r="CD650" s="78"/>
    </row>
    <row r="651">
      <c r="A651" s="10"/>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78"/>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10"/>
      <c r="BV651" s="78"/>
      <c r="BW651" s="78"/>
      <c r="BX651" s="78"/>
      <c r="BY651" s="78"/>
      <c r="BZ651" s="78"/>
      <c r="CA651" s="78"/>
      <c r="CB651" s="78"/>
      <c r="CC651" s="78"/>
      <c r="CD651" s="78"/>
    </row>
    <row r="652">
      <c r="A652" s="10"/>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78"/>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10"/>
      <c r="BV652" s="78"/>
      <c r="BW652" s="78"/>
      <c r="BX652" s="78"/>
      <c r="BY652" s="78"/>
      <c r="BZ652" s="78"/>
      <c r="CA652" s="78"/>
      <c r="CB652" s="78"/>
      <c r="CC652" s="78"/>
      <c r="CD652" s="78"/>
    </row>
    <row r="653">
      <c r="A653" s="10"/>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78"/>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10"/>
      <c r="BV653" s="78"/>
      <c r="BW653" s="78"/>
      <c r="BX653" s="78"/>
      <c r="BY653" s="78"/>
      <c r="BZ653" s="78"/>
      <c r="CA653" s="78"/>
      <c r="CB653" s="78"/>
      <c r="CC653" s="78"/>
      <c r="CD653" s="78"/>
    </row>
    <row r="654">
      <c r="A654" s="10"/>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78"/>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10"/>
      <c r="BV654" s="78"/>
      <c r="BW654" s="78"/>
      <c r="BX654" s="78"/>
      <c r="BY654" s="78"/>
      <c r="BZ654" s="78"/>
      <c r="CA654" s="78"/>
      <c r="CB654" s="78"/>
      <c r="CC654" s="78"/>
      <c r="CD654" s="78"/>
    </row>
    <row r="655">
      <c r="A655" s="10"/>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78"/>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10"/>
      <c r="BV655" s="78"/>
      <c r="BW655" s="78"/>
      <c r="BX655" s="78"/>
      <c r="BY655" s="78"/>
      <c r="BZ655" s="78"/>
      <c r="CA655" s="78"/>
      <c r="CB655" s="78"/>
      <c r="CC655" s="78"/>
      <c r="CD655" s="78"/>
    </row>
    <row r="656">
      <c r="A656" s="10"/>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78"/>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10"/>
      <c r="BV656" s="78"/>
      <c r="BW656" s="78"/>
      <c r="BX656" s="78"/>
      <c r="BY656" s="78"/>
      <c r="BZ656" s="78"/>
      <c r="CA656" s="78"/>
      <c r="CB656" s="78"/>
      <c r="CC656" s="78"/>
      <c r="CD656" s="78"/>
    </row>
    <row r="657">
      <c r="A657" s="10"/>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78"/>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10"/>
      <c r="BV657" s="78"/>
      <c r="BW657" s="78"/>
      <c r="BX657" s="78"/>
      <c r="BY657" s="78"/>
      <c r="BZ657" s="78"/>
      <c r="CA657" s="78"/>
      <c r="CB657" s="78"/>
      <c r="CC657" s="78"/>
      <c r="CD657" s="78"/>
    </row>
    <row r="658">
      <c r="A658" s="10"/>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78"/>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10"/>
      <c r="BV658" s="78"/>
      <c r="BW658" s="78"/>
      <c r="BX658" s="78"/>
      <c r="BY658" s="78"/>
      <c r="BZ658" s="78"/>
      <c r="CA658" s="78"/>
      <c r="CB658" s="78"/>
      <c r="CC658" s="78"/>
      <c r="CD658" s="78"/>
    </row>
    <row r="659">
      <c r="A659" s="10"/>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78"/>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10"/>
      <c r="BV659" s="78"/>
      <c r="BW659" s="78"/>
      <c r="BX659" s="78"/>
      <c r="BY659" s="78"/>
      <c r="BZ659" s="78"/>
      <c r="CA659" s="78"/>
      <c r="CB659" s="78"/>
      <c r="CC659" s="78"/>
      <c r="CD659" s="78"/>
    </row>
    <row r="660">
      <c r="A660" s="10"/>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78"/>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10"/>
      <c r="BV660" s="78"/>
      <c r="BW660" s="78"/>
      <c r="BX660" s="78"/>
      <c r="BY660" s="78"/>
      <c r="BZ660" s="78"/>
      <c r="CA660" s="78"/>
      <c r="CB660" s="78"/>
      <c r="CC660" s="78"/>
      <c r="CD660" s="78"/>
    </row>
    <row r="661">
      <c r="A661" s="10"/>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78"/>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10"/>
      <c r="BV661" s="78"/>
      <c r="BW661" s="78"/>
      <c r="BX661" s="78"/>
      <c r="BY661" s="78"/>
      <c r="BZ661" s="78"/>
      <c r="CA661" s="78"/>
      <c r="CB661" s="78"/>
      <c r="CC661" s="78"/>
      <c r="CD661" s="78"/>
    </row>
    <row r="662">
      <c r="A662" s="10"/>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10"/>
      <c r="BV662" s="78"/>
      <c r="BW662" s="78"/>
      <c r="BX662" s="78"/>
      <c r="BY662" s="78"/>
      <c r="BZ662" s="78"/>
      <c r="CA662" s="78"/>
      <c r="CB662" s="78"/>
      <c r="CC662" s="78"/>
      <c r="CD662" s="78"/>
    </row>
    <row r="663">
      <c r="A663" s="10"/>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78"/>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10"/>
      <c r="BV663" s="78"/>
      <c r="BW663" s="78"/>
      <c r="BX663" s="78"/>
      <c r="BY663" s="78"/>
      <c r="BZ663" s="78"/>
      <c r="CA663" s="78"/>
      <c r="CB663" s="78"/>
      <c r="CC663" s="78"/>
      <c r="CD663" s="78"/>
    </row>
    <row r="664">
      <c r="A664" s="10"/>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78"/>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10"/>
      <c r="BV664" s="78"/>
      <c r="BW664" s="78"/>
      <c r="BX664" s="78"/>
      <c r="BY664" s="78"/>
      <c r="BZ664" s="78"/>
      <c r="CA664" s="78"/>
      <c r="CB664" s="78"/>
      <c r="CC664" s="78"/>
      <c r="CD664" s="78"/>
    </row>
    <row r="665">
      <c r="A665" s="10"/>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78"/>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10"/>
      <c r="BV665" s="78"/>
      <c r="BW665" s="78"/>
      <c r="BX665" s="78"/>
      <c r="BY665" s="78"/>
      <c r="BZ665" s="78"/>
      <c r="CA665" s="78"/>
      <c r="CB665" s="78"/>
      <c r="CC665" s="78"/>
      <c r="CD665" s="78"/>
    </row>
    <row r="666">
      <c r="A666" s="10"/>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78"/>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10"/>
      <c r="BV666" s="78"/>
      <c r="BW666" s="78"/>
      <c r="BX666" s="78"/>
      <c r="BY666" s="78"/>
      <c r="BZ666" s="78"/>
      <c r="CA666" s="78"/>
      <c r="CB666" s="78"/>
      <c r="CC666" s="78"/>
      <c r="CD666" s="78"/>
    </row>
    <row r="667">
      <c r="A667" s="10"/>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78"/>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10"/>
      <c r="BV667" s="78"/>
      <c r="BW667" s="78"/>
      <c r="BX667" s="78"/>
      <c r="BY667" s="78"/>
      <c r="BZ667" s="78"/>
      <c r="CA667" s="78"/>
      <c r="CB667" s="78"/>
      <c r="CC667" s="78"/>
      <c r="CD667" s="78"/>
    </row>
    <row r="668">
      <c r="A668" s="10"/>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78"/>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10"/>
      <c r="BV668" s="78"/>
      <c r="BW668" s="78"/>
      <c r="BX668" s="78"/>
      <c r="BY668" s="78"/>
      <c r="BZ668" s="78"/>
      <c r="CA668" s="78"/>
      <c r="CB668" s="78"/>
      <c r="CC668" s="78"/>
      <c r="CD668" s="78"/>
    </row>
    <row r="669">
      <c r="A669" s="10"/>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78"/>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10"/>
      <c r="BV669" s="78"/>
      <c r="BW669" s="78"/>
      <c r="BX669" s="78"/>
      <c r="BY669" s="78"/>
      <c r="BZ669" s="78"/>
      <c r="CA669" s="78"/>
      <c r="CB669" s="78"/>
      <c r="CC669" s="78"/>
      <c r="CD669" s="78"/>
    </row>
    <row r="670">
      <c r="A670" s="10"/>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78"/>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10"/>
      <c r="BV670" s="78"/>
      <c r="BW670" s="78"/>
      <c r="BX670" s="78"/>
      <c r="BY670" s="78"/>
      <c r="BZ670" s="78"/>
      <c r="CA670" s="78"/>
      <c r="CB670" s="78"/>
      <c r="CC670" s="78"/>
      <c r="CD670" s="78"/>
    </row>
    <row r="671">
      <c r="A671" s="10"/>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78"/>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10"/>
      <c r="BV671" s="78"/>
      <c r="BW671" s="78"/>
      <c r="BX671" s="78"/>
      <c r="BY671" s="78"/>
      <c r="BZ671" s="78"/>
      <c r="CA671" s="78"/>
      <c r="CB671" s="78"/>
      <c r="CC671" s="78"/>
      <c r="CD671" s="78"/>
    </row>
    <row r="672">
      <c r="A672" s="10"/>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78"/>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10"/>
      <c r="BV672" s="78"/>
      <c r="BW672" s="78"/>
      <c r="BX672" s="78"/>
      <c r="BY672" s="78"/>
      <c r="BZ672" s="78"/>
      <c r="CA672" s="78"/>
      <c r="CB672" s="78"/>
      <c r="CC672" s="78"/>
      <c r="CD672" s="78"/>
    </row>
    <row r="673">
      <c r="A673" s="10"/>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78"/>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10"/>
      <c r="BV673" s="78"/>
      <c r="BW673" s="78"/>
      <c r="BX673" s="78"/>
      <c r="BY673" s="78"/>
      <c r="BZ673" s="78"/>
      <c r="CA673" s="78"/>
      <c r="CB673" s="78"/>
      <c r="CC673" s="78"/>
      <c r="CD673" s="78"/>
    </row>
    <row r="674">
      <c r="A674" s="10"/>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78"/>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10"/>
      <c r="BV674" s="78"/>
      <c r="BW674" s="78"/>
      <c r="BX674" s="78"/>
      <c r="BY674" s="78"/>
      <c r="BZ674" s="78"/>
      <c r="CA674" s="78"/>
      <c r="CB674" s="78"/>
      <c r="CC674" s="78"/>
      <c r="CD674" s="78"/>
    </row>
    <row r="675">
      <c r="A675" s="10"/>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78"/>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10"/>
      <c r="BV675" s="78"/>
      <c r="BW675" s="78"/>
      <c r="BX675" s="78"/>
      <c r="BY675" s="78"/>
      <c r="BZ675" s="78"/>
      <c r="CA675" s="78"/>
      <c r="CB675" s="78"/>
      <c r="CC675" s="78"/>
      <c r="CD675" s="78"/>
    </row>
    <row r="676">
      <c r="A676" s="10"/>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78"/>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10"/>
      <c r="BV676" s="78"/>
      <c r="BW676" s="78"/>
      <c r="BX676" s="78"/>
      <c r="BY676" s="78"/>
      <c r="BZ676" s="78"/>
      <c r="CA676" s="78"/>
      <c r="CB676" s="78"/>
      <c r="CC676" s="78"/>
      <c r="CD676" s="78"/>
    </row>
    <row r="677">
      <c r="A677" s="10"/>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78"/>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10"/>
      <c r="BV677" s="78"/>
      <c r="BW677" s="78"/>
      <c r="BX677" s="78"/>
      <c r="BY677" s="78"/>
      <c r="BZ677" s="78"/>
      <c r="CA677" s="78"/>
      <c r="CB677" s="78"/>
      <c r="CC677" s="78"/>
      <c r="CD677" s="78"/>
    </row>
    <row r="678">
      <c r="A678" s="10"/>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78"/>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10"/>
      <c r="BV678" s="78"/>
      <c r="BW678" s="78"/>
      <c r="BX678" s="78"/>
      <c r="BY678" s="78"/>
      <c r="BZ678" s="78"/>
      <c r="CA678" s="78"/>
      <c r="CB678" s="78"/>
      <c r="CC678" s="78"/>
      <c r="CD678" s="78"/>
    </row>
    <row r="679">
      <c r="A679" s="10"/>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78"/>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10"/>
      <c r="BV679" s="78"/>
      <c r="BW679" s="78"/>
      <c r="BX679" s="78"/>
      <c r="BY679" s="78"/>
      <c r="BZ679" s="78"/>
      <c r="CA679" s="78"/>
      <c r="CB679" s="78"/>
      <c r="CC679" s="78"/>
      <c r="CD679" s="78"/>
    </row>
    <row r="680">
      <c r="A680" s="10"/>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78"/>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10"/>
      <c r="BV680" s="78"/>
      <c r="BW680" s="78"/>
      <c r="BX680" s="78"/>
      <c r="BY680" s="78"/>
      <c r="BZ680" s="78"/>
      <c r="CA680" s="78"/>
      <c r="CB680" s="78"/>
      <c r="CC680" s="78"/>
      <c r="CD680" s="78"/>
    </row>
    <row r="681">
      <c r="A681" s="10"/>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78"/>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10"/>
      <c r="BV681" s="78"/>
      <c r="BW681" s="78"/>
      <c r="BX681" s="78"/>
      <c r="BY681" s="78"/>
      <c r="BZ681" s="78"/>
      <c r="CA681" s="78"/>
      <c r="CB681" s="78"/>
      <c r="CC681" s="78"/>
      <c r="CD681" s="78"/>
    </row>
    <row r="682">
      <c r="A682" s="10"/>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78"/>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10"/>
      <c r="BV682" s="78"/>
      <c r="BW682" s="78"/>
      <c r="BX682" s="78"/>
      <c r="BY682" s="78"/>
      <c r="BZ682" s="78"/>
      <c r="CA682" s="78"/>
      <c r="CB682" s="78"/>
      <c r="CC682" s="78"/>
      <c r="CD682" s="78"/>
    </row>
    <row r="683">
      <c r="A683" s="10"/>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78"/>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10"/>
      <c r="BV683" s="78"/>
      <c r="BW683" s="78"/>
      <c r="BX683" s="78"/>
      <c r="BY683" s="78"/>
      <c r="BZ683" s="78"/>
      <c r="CA683" s="78"/>
      <c r="CB683" s="78"/>
      <c r="CC683" s="78"/>
      <c r="CD683" s="78"/>
    </row>
    <row r="684">
      <c r="A684" s="10"/>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78"/>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10"/>
      <c r="BV684" s="78"/>
      <c r="BW684" s="78"/>
      <c r="BX684" s="78"/>
      <c r="BY684" s="78"/>
      <c r="BZ684" s="78"/>
      <c r="CA684" s="78"/>
      <c r="CB684" s="78"/>
      <c r="CC684" s="78"/>
      <c r="CD684" s="78"/>
    </row>
    <row r="685">
      <c r="A685" s="10"/>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78"/>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10"/>
      <c r="BV685" s="78"/>
      <c r="BW685" s="78"/>
      <c r="BX685" s="78"/>
      <c r="BY685" s="78"/>
      <c r="BZ685" s="78"/>
      <c r="CA685" s="78"/>
      <c r="CB685" s="78"/>
      <c r="CC685" s="78"/>
      <c r="CD685" s="78"/>
    </row>
    <row r="686">
      <c r="A686" s="10"/>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78"/>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10"/>
      <c r="BV686" s="78"/>
      <c r="BW686" s="78"/>
      <c r="BX686" s="78"/>
      <c r="BY686" s="78"/>
      <c r="BZ686" s="78"/>
      <c r="CA686" s="78"/>
      <c r="CB686" s="78"/>
      <c r="CC686" s="78"/>
      <c r="CD686" s="78"/>
    </row>
    <row r="687">
      <c r="A687" s="10"/>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78"/>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10"/>
      <c r="BV687" s="78"/>
      <c r="BW687" s="78"/>
      <c r="BX687" s="78"/>
      <c r="BY687" s="78"/>
      <c r="BZ687" s="78"/>
      <c r="CA687" s="78"/>
      <c r="CB687" s="78"/>
      <c r="CC687" s="78"/>
      <c r="CD687" s="78"/>
    </row>
    <row r="688">
      <c r="A688" s="10"/>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78"/>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10"/>
      <c r="BV688" s="78"/>
      <c r="BW688" s="78"/>
      <c r="BX688" s="78"/>
      <c r="BY688" s="78"/>
      <c r="BZ688" s="78"/>
      <c r="CA688" s="78"/>
      <c r="CB688" s="78"/>
      <c r="CC688" s="78"/>
      <c r="CD688" s="78"/>
    </row>
    <row r="689">
      <c r="A689" s="10"/>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78"/>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10"/>
      <c r="BV689" s="78"/>
      <c r="BW689" s="78"/>
      <c r="BX689" s="78"/>
      <c r="BY689" s="78"/>
      <c r="BZ689" s="78"/>
      <c r="CA689" s="78"/>
      <c r="CB689" s="78"/>
      <c r="CC689" s="78"/>
      <c r="CD689" s="78"/>
    </row>
    <row r="690">
      <c r="A690" s="10"/>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78"/>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10"/>
      <c r="BV690" s="78"/>
      <c r="BW690" s="78"/>
      <c r="BX690" s="78"/>
      <c r="BY690" s="78"/>
      <c r="BZ690" s="78"/>
      <c r="CA690" s="78"/>
      <c r="CB690" s="78"/>
      <c r="CC690" s="78"/>
      <c r="CD690" s="78"/>
    </row>
    <row r="691">
      <c r="A691" s="10"/>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78"/>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10"/>
      <c r="BV691" s="78"/>
      <c r="BW691" s="78"/>
      <c r="BX691" s="78"/>
      <c r="BY691" s="78"/>
      <c r="BZ691" s="78"/>
      <c r="CA691" s="78"/>
      <c r="CB691" s="78"/>
      <c r="CC691" s="78"/>
      <c r="CD691" s="78"/>
    </row>
    <row r="692">
      <c r="A692" s="10"/>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78"/>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10"/>
      <c r="BV692" s="78"/>
      <c r="BW692" s="78"/>
      <c r="BX692" s="78"/>
      <c r="BY692" s="78"/>
      <c r="BZ692" s="78"/>
      <c r="CA692" s="78"/>
      <c r="CB692" s="78"/>
      <c r="CC692" s="78"/>
      <c r="CD692" s="78"/>
    </row>
    <row r="693">
      <c r="A693" s="10"/>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78"/>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10"/>
      <c r="BV693" s="78"/>
      <c r="BW693" s="78"/>
      <c r="BX693" s="78"/>
      <c r="BY693" s="78"/>
      <c r="BZ693" s="78"/>
      <c r="CA693" s="78"/>
      <c r="CB693" s="78"/>
      <c r="CC693" s="78"/>
      <c r="CD693" s="78"/>
    </row>
    <row r="694">
      <c r="A694" s="10"/>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78"/>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10"/>
      <c r="BV694" s="78"/>
      <c r="BW694" s="78"/>
      <c r="BX694" s="78"/>
      <c r="BY694" s="78"/>
      <c r="BZ694" s="78"/>
      <c r="CA694" s="78"/>
      <c r="CB694" s="78"/>
      <c r="CC694" s="78"/>
      <c r="CD694" s="78"/>
    </row>
    <row r="695">
      <c r="A695" s="10"/>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78"/>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10"/>
      <c r="BV695" s="78"/>
      <c r="BW695" s="78"/>
      <c r="BX695" s="78"/>
      <c r="BY695" s="78"/>
      <c r="BZ695" s="78"/>
      <c r="CA695" s="78"/>
      <c r="CB695" s="78"/>
      <c r="CC695" s="78"/>
      <c r="CD695" s="78"/>
    </row>
    <row r="696">
      <c r="A696" s="10"/>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78"/>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10"/>
      <c r="BV696" s="78"/>
      <c r="BW696" s="78"/>
      <c r="BX696" s="78"/>
      <c r="BY696" s="78"/>
      <c r="BZ696" s="78"/>
      <c r="CA696" s="78"/>
      <c r="CB696" s="78"/>
      <c r="CC696" s="78"/>
      <c r="CD696" s="78"/>
    </row>
    <row r="697">
      <c r="A697" s="10"/>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78"/>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10"/>
      <c r="BV697" s="78"/>
      <c r="BW697" s="78"/>
      <c r="BX697" s="78"/>
      <c r="BY697" s="78"/>
      <c r="BZ697" s="78"/>
      <c r="CA697" s="78"/>
      <c r="CB697" s="78"/>
      <c r="CC697" s="78"/>
      <c r="CD697" s="78"/>
    </row>
    <row r="698">
      <c r="A698" s="10"/>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78"/>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10"/>
      <c r="BV698" s="78"/>
      <c r="BW698" s="78"/>
      <c r="BX698" s="78"/>
      <c r="BY698" s="78"/>
      <c r="BZ698" s="78"/>
      <c r="CA698" s="78"/>
      <c r="CB698" s="78"/>
      <c r="CC698" s="78"/>
      <c r="CD698" s="78"/>
    </row>
    <row r="699">
      <c r="A699" s="10"/>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78"/>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10"/>
      <c r="BV699" s="78"/>
      <c r="BW699" s="78"/>
      <c r="BX699" s="78"/>
      <c r="BY699" s="78"/>
      <c r="BZ699" s="78"/>
      <c r="CA699" s="78"/>
      <c r="CB699" s="78"/>
      <c r="CC699" s="78"/>
      <c r="CD699" s="78"/>
    </row>
    <row r="700">
      <c r="A700" s="10"/>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78"/>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10"/>
      <c r="BV700" s="78"/>
      <c r="BW700" s="78"/>
      <c r="BX700" s="78"/>
      <c r="BY700" s="78"/>
      <c r="BZ700" s="78"/>
      <c r="CA700" s="78"/>
      <c r="CB700" s="78"/>
      <c r="CC700" s="78"/>
      <c r="CD700" s="78"/>
    </row>
    <row r="701">
      <c r="A701" s="10"/>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78"/>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10"/>
      <c r="BV701" s="78"/>
      <c r="BW701" s="78"/>
      <c r="BX701" s="78"/>
      <c r="BY701" s="78"/>
      <c r="BZ701" s="78"/>
      <c r="CA701" s="78"/>
      <c r="CB701" s="78"/>
      <c r="CC701" s="78"/>
      <c r="CD701" s="78"/>
    </row>
    <row r="702">
      <c r="A702" s="10"/>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78"/>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10"/>
      <c r="BV702" s="78"/>
      <c r="BW702" s="78"/>
      <c r="BX702" s="78"/>
      <c r="BY702" s="78"/>
      <c r="BZ702" s="78"/>
      <c r="CA702" s="78"/>
      <c r="CB702" s="78"/>
      <c r="CC702" s="78"/>
      <c r="CD702" s="78"/>
    </row>
    <row r="703">
      <c r="A703" s="10"/>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78"/>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10"/>
      <c r="BV703" s="78"/>
      <c r="BW703" s="78"/>
      <c r="BX703" s="78"/>
      <c r="BY703" s="78"/>
      <c r="BZ703" s="78"/>
      <c r="CA703" s="78"/>
      <c r="CB703" s="78"/>
      <c r="CC703" s="78"/>
      <c r="CD703" s="78"/>
    </row>
    <row r="704">
      <c r="A704" s="10"/>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10"/>
      <c r="BV704" s="78"/>
      <c r="BW704" s="78"/>
      <c r="BX704" s="78"/>
      <c r="BY704" s="78"/>
      <c r="BZ704" s="78"/>
      <c r="CA704" s="78"/>
      <c r="CB704" s="78"/>
      <c r="CC704" s="78"/>
      <c r="CD704" s="78"/>
    </row>
    <row r="705">
      <c r="A705" s="10"/>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78"/>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10"/>
      <c r="BV705" s="78"/>
      <c r="BW705" s="78"/>
      <c r="BX705" s="78"/>
      <c r="BY705" s="78"/>
      <c r="BZ705" s="78"/>
      <c r="CA705" s="78"/>
      <c r="CB705" s="78"/>
      <c r="CC705" s="78"/>
      <c r="CD705" s="78"/>
    </row>
    <row r="706">
      <c r="A706" s="10"/>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78"/>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10"/>
      <c r="BV706" s="78"/>
      <c r="BW706" s="78"/>
      <c r="BX706" s="78"/>
      <c r="BY706" s="78"/>
      <c r="BZ706" s="78"/>
      <c r="CA706" s="78"/>
      <c r="CB706" s="78"/>
      <c r="CC706" s="78"/>
      <c r="CD706" s="78"/>
    </row>
    <row r="707">
      <c r="A707" s="10"/>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78"/>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10"/>
      <c r="BV707" s="78"/>
      <c r="BW707" s="78"/>
      <c r="BX707" s="78"/>
      <c r="BY707" s="78"/>
      <c r="BZ707" s="78"/>
      <c r="CA707" s="78"/>
      <c r="CB707" s="78"/>
      <c r="CC707" s="78"/>
      <c r="CD707" s="78"/>
    </row>
    <row r="708">
      <c r="A708" s="10"/>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78"/>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10"/>
      <c r="BV708" s="78"/>
      <c r="BW708" s="78"/>
      <c r="BX708" s="78"/>
      <c r="BY708" s="78"/>
      <c r="BZ708" s="78"/>
      <c r="CA708" s="78"/>
      <c r="CB708" s="78"/>
      <c r="CC708" s="78"/>
      <c r="CD708" s="78"/>
    </row>
    <row r="709">
      <c r="A709" s="10"/>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78"/>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10"/>
      <c r="BV709" s="78"/>
      <c r="BW709" s="78"/>
      <c r="BX709" s="78"/>
      <c r="BY709" s="78"/>
      <c r="BZ709" s="78"/>
      <c r="CA709" s="78"/>
      <c r="CB709" s="78"/>
      <c r="CC709" s="78"/>
      <c r="CD709" s="78"/>
    </row>
    <row r="710">
      <c r="A710" s="10"/>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78"/>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10"/>
      <c r="BV710" s="78"/>
      <c r="BW710" s="78"/>
      <c r="BX710" s="78"/>
      <c r="BY710" s="78"/>
      <c r="BZ710" s="78"/>
      <c r="CA710" s="78"/>
      <c r="CB710" s="78"/>
      <c r="CC710" s="78"/>
      <c r="CD710" s="78"/>
    </row>
    <row r="711">
      <c r="A711" s="10"/>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78"/>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10"/>
      <c r="BV711" s="78"/>
      <c r="BW711" s="78"/>
      <c r="BX711" s="78"/>
      <c r="BY711" s="78"/>
      <c r="BZ711" s="78"/>
      <c r="CA711" s="78"/>
      <c r="CB711" s="78"/>
      <c r="CC711" s="78"/>
      <c r="CD711" s="78"/>
    </row>
    <row r="712">
      <c r="A712" s="10"/>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78"/>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10"/>
      <c r="BV712" s="78"/>
      <c r="BW712" s="78"/>
      <c r="BX712" s="78"/>
      <c r="BY712" s="78"/>
      <c r="BZ712" s="78"/>
      <c r="CA712" s="78"/>
      <c r="CB712" s="78"/>
      <c r="CC712" s="78"/>
      <c r="CD712" s="78"/>
    </row>
    <row r="713">
      <c r="A713" s="10"/>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78"/>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10"/>
      <c r="BV713" s="78"/>
      <c r="BW713" s="78"/>
      <c r="BX713" s="78"/>
      <c r="BY713" s="78"/>
      <c r="BZ713" s="78"/>
      <c r="CA713" s="78"/>
      <c r="CB713" s="78"/>
      <c r="CC713" s="78"/>
      <c r="CD713" s="78"/>
    </row>
    <row r="714">
      <c r="A714" s="10"/>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78"/>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10"/>
      <c r="BV714" s="78"/>
      <c r="BW714" s="78"/>
      <c r="BX714" s="78"/>
      <c r="BY714" s="78"/>
      <c r="BZ714" s="78"/>
      <c r="CA714" s="78"/>
      <c r="CB714" s="78"/>
      <c r="CC714" s="78"/>
      <c r="CD714" s="78"/>
    </row>
    <row r="715">
      <c r="A715" s="10"/>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78"/>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10"/>
      <c r="BV715" s="78"/>
      <c r="BW715" s="78"/>
      <c r="BX715" s="78"/>
      <c r="BY715" s="78"/>
      <c r="BZ715" s="78"/>
      <c r="CA715" s="78"/>
      <c r="CB715" s="78"/>
      <c r="CC715" s="78"/>
      <c r="CD715" s="78"/>
    </row>
    <row r="716">
      <c r="A716" s="10"/>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78"/>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10"/>
      <c r="BV716" s="78"/>
      <c r="BW716" s="78"/>
      <c r="BX716" s="78"/>
      <c r="BY716" s="78"/>
      <c r="BZ716" s="78"/>
      <c r="CA716" s="78"/>
      <c r="CB716" s="78"/>
      <c r="CC716" s="78"/>
      <c r="CD716" s="78"/>
    </row>
    <row r="717">
      <c r="A717" s="10"/>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78"/>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10"/>
      <c r="BV717" s="78"/>
      <c r="BW717" s="78"/>
      <c r="BX717" s="78"/>
      <c r="BY717" s="78"/>
      <c r="BZ717" s="78"/>
      <c r="CA717" s="78"/>
      <c r="CB717" s="78"/>
      <c r="CC717" s="78"/>
      <c r="CD717" s="78"/>
    </row>
    <row r="718">
      <c r="A718" s="10"/>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78"/>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10"/>
      <c r="BV718" s="78"/>
      <c r="BW718" s="78"/>
      <c r="BX718" s="78"/>
      <c r="BY718" s="78"/>
      <c r="BZ718" s="78"/>
      <c r="CA718" s="78"/>
      <c r="CB718" s="78"/>
      <c r="CC718" s="78"/>
      <c r="CD718" s="78"/>
    </row>
    <row r="719">
      <c r="A719" s="10"/>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78"/>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10"/>
      <c r="BV719" s="78"/>
      <c r="BW719" s="78"/>
      <c r="BX719" s="78"/>
      <c r="BY719" s="78"/>
      <c r="BZ719" s="78"/>
      <c r="CA719" s="78"/>
      <c r="CB719" s="78"/>
      <c r="CC719" s="78"/>
      <c r="CD719" s="78"/>
    </row>
    <row r="720">
      <c r="A720" s="10"/>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78"/>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10"/>
      <c r="BV720" s="78"/>
      <c r="BW720" s="78"/>
      <c r="BX720" s="78"/>
      <c r="BY720" s="78"/>
      <c r="BZ720" s="78"/>
      <c r="CA720" s="78"/>
      <c r="CB720" s="78"/>
      <c r="CC720" s="78"/>
      <c r="CD720" s="78"/>
    </row>
    <row r="721">
      <c r="A721" s="10"/>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78"/>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10"/>
      <c r="BV721" s="78"/>
      <c r="BW721" s="78"/>
      <c r="BX721" s="78"/>
      <c r="BY721" s="78"/>
      <c r="BZ721" s="78"/>
      <c r="CA721" s="78"/>
      <c r="CB721" s="78"/>
      <c r="CC721" s="78"/>
      <c r="CD721" s="78"/>
    </row>
    <row r="722">
      <c r="A722" s="10"/>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78"/>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10"/>
      <c r="BV722" s="78"/>
      <c r="BW722" s="78"/>
      <c r="BX722" s="78"/>
      <c r="BY722" s="78"/>
      <c r="BZ722" s="78"/>
      <c r="CA722" s="78"/>
      <c r="CB722" s="78"/>
      <c r="CC722" s="78"/>
      <c r="CD722" s="78"/>
    </row>
    <row r="723">
      <c r="A723" s="10"/>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78"/>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10"/>
      <c r="BV723" s="78"/>
      <c r="BW723" s="78"/>
      <c r="BX723" s="78"/>
      <c r="BY723" s="78"/>
      <c r="BZ723" s="78"/>
      <c r="CA723" s="78"/>
      <c r="CB723" s="78"/>
      <c r="CC723" s="78"/>
      <c r="CD723" s="78"/>
    </row>
    <row r="724">
      <c r="A724" s="10"/>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78"/>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10"/>
      <c r="BV724" s="78"/>
      <c r="BW724" s="78"/>
      <c r="BX724" s="78"/>
      <c r="BY724" s="78"/>
      <c r="BZ724" s="78"/>
      <c r="CA724" s="78"/>
      <c r="CB724" s="78"/>
      <c r="CC724" s="78"/>
      <c r="CD724" s="78"/>
    </row>
    <row r="725">
      <c r="A725" s="10"/>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78"/>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10"/>
      <c r="BV725" s="78"/>
      <c r="BW725" s="78"/>
      <c r="BX725" s="78"/>
      <c r="BY725" s="78"/>
      <c r="BZ725" s="78"/>
      <c r="CA725" s="78"/>
      <c r="CB725" s="78"/>
      <c r="CC725" s="78"/>
      <c r="CD725" s="78"/>
    </row>
    <row r="726">
      <c r="A726" s="10"/>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78"/>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10"/>
      <c r="BV726" s="78"/>
      <c r="BW726" s="78"/>
      <c r="BX726" s="78"/>
      <c r="BY726" s="78"/>
      <c r="BZ726" s="78"/>
      <c r="CA726" s="78"/>
      <c r="CB726" s="78"/>
      <c r="CC726" s="78"/>
      <c r="CD726" s="78"/>
    </row>
    <row r="727">
      <c r="A727" s="10"/>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78"/>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10"/>
      <c r="BV727" s="78"/>
      <c r="BW727" s="78"/>
      <c r="BX727" s="78"/>
      <c r="BY727" s="78"/>
      <c r="BZ727" s="78"/>
      <c r="CA727" s="78"/>
      <c r="CB727" s="78"/>
      <c r="CC727" s="78"/>
      <c r="CD727" s="78"/>
    </row>
    <row r="728">
      <c r="A728" s="10"/>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78"/>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10"/>
      <c r="BV728" s="78"/>
      <c r="BW728" s="78"/>
      <c r="BX728" s="78"/>
      <c r="BY728" s="78"/>
      <c r="BZ728" s="78"/>
      <c r="CA728" s="78"/>
      <c r="CB728" s="78"/>
      <c r="CC728" s="78"/>
      <c r="CD728" s="78"/>
    </row>
    <row r="729">
      <c r="A729" s="10"/>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78"/>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10"/>
      <c r="BV729" s="78"/>
      <c r="BW729" s="78"/>
      <c r="BX729" s="78"/>
      <c r="BY729" s="78"/>
      <c r="BZ729" s="78"/>
      <c r="CA729" s="78"/>
      <c r="CB729" s="78"/>
      <c r="CC729" s="78"/>
      <c r="CD729" s="78"/>
    </row>
    <row r="730">
      <c r="A730" s="10"/>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78"/>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10"/>
      <c r="BV730" s="78"/>
      <c r="BW730" s="78"/>
      <c r="BX730" s="78"/>
      <c r="BY730" s="78"/>
      <c r="BZ730" s="78"/>
      <c r="CA730" s="78"/>
      <c r="CB730" s="78"/>
      <c r="CC730" s="78"/>
      <c r="CD730" s="78"/>
    </row>
    <row r="731">
      <c r="A731" s="10"/>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78"/>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10"/>
      <c r="BV731" s="78"/>
      <c r="BW731" s="78"/>
      <c r="BX731" s="78"/>
      <c r="BY731" s="78"/>
      <c r="BZ731" s="78"/>
      <c r="CA731" s="78"/>
      <c r="CB731" s="78"/>
      <c r="CC731" s="78"/>
      <c r="CD731" s="78"/>
    </row>
    <row r="732">
      <c r="A732" s="10"/>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78"/>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10"/>
      <c r="BV732" s="78"/>
      <c r="BW732" s="78"/>
      <c r="BX732" s="78"/>
      <c r="BY732" s="78"/>
      <c r="BZ732" s="78"/>
      <c r="CA732" s="78"/>
      <c r="CB732" s="78"/>
      <c r="CC732" s="78"/>
      <c r="CD732" s="78"/>
    </row>
    <row r="733">
      <c r="A733" s="10"/>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78"/>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10"/>
      <c r="BV733" s="78"/>
      <c r="BW733" s="78"/>
      <c r="BX733" s="78"/>
      <c r="BY733" s="78"/>
      <c r="BZ733" s="78"/>
      <c r="CA733" s="78"/>
      <c r="CB733" s="78"/>
      <c r="CC733" s="78"/>
      <c r="CD733" s="78"/>
    </row>
    <row r="734">
      <c r="A734" s="10"/>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78"/>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10"/>
      <c r="BV734" s="78"/>
      <c r="BW734" s="78"/>
      <c r="BX734" s="78"/>
      <c r="BY734" s="78"/>
      <c r="BZ734" s="78"/>
      <c r="CA734" s="78"/>
      <c r="CB734" s="78"/>
      <c r="CC734" s="78"/>
      <c r="CD734" s="78"/>
    </row>
    <row r="735">
      <c r="A735" s="10"/>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78"/>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10"/>
      <c r="BV735" s="78"/>
      <c r="BW735" s="78"/>
      <c r="BX735" s="78"/>
      <c r="BY735" s="78"/>
      <c r="BZ735" s="78"/>
      <c r="CA735" s="78"/>
      <c r="CB735" s="78"/>
      <c r="CC735" s="78"/>
      <c r="CD735" s="78"/>
    </row>
    <row r="736">
      <c r="A736" s="10"/>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78"/>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10"/>
      <c r="BV736" s="78"/>
      <c r="BW736" s="78"/>
      <c r="BX736" s="78"/>
      <c r="BY736" s="78"/>
      <c r="BZ736" s="78"/>
      <c r="CA736" s="78"/>
      <c r="CB736" s="78"/>
      <c r="CC736" s="78"/>
      <c r="CD736" s="78"/>
    </row>
    <row r="737">
      <c r="A737" s="10"/>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78"/>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10"/>
      <c r="BV737" s="78"/>
      <c r="BW737" s="78"/>
      <c r="BX737" s="78"/>
      <c r="BY737" s="78"/>
      <c r="BZ737" s="78"/>
      <c r="CA737" s="78"/>
      <c r="CB737" s="78"/>
      <c r="CC737" s="78"/>
      <c r="CD737" s="78"/>
    </row>
    <row r="738">
      <c r="A738" s="10"/>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78"/>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10"/>
      <c r="BV738" s="78"/>
      <c r="BW738" s="78"/>
      <c r="BX738" s="78"/>
      <c r="BY738" s="78"/>
      <c r="BZ738" s="78"/>
      <c r="CA738" s="78"/>
      <c r="CB738" s="78"/>
      <c r="CC738" s="78"/>
      <c r="CD738" s="78"/>
    </row>
    <row r="739">
      <c r="A739" s="10"/>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78"/>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10"/>
      <c r="BV739" s="78"/>
      <c r="BW739" s="78"/>
      <c r="BX739" s="78"/>
      <c r="BY739" s="78"/>
      <c r="BZ739" s="78"/>
      <c r="CA739" s="78"/>
      <c r="CB739" s="78"/>
      <c r="CC739" s="78"/>
      <c r="CD739" s="78"/>
    </row>
    <row r="740">
      <c r="A740" s="10"/>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78"/>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10"/>
      <c r="BV740" s="78"/>
      <c r="BW740" s="78"/>
      <c r="BX740" s="78"/>
      <c r="BY740" s="78"/>
      <c r="BZ740" s="78"/>
      <c r="CA740" s="78"/>
      <c r="CB740" s="78"/>
      <c r="CC740" s="78"/>
      <c r="CD740" s="78"/>
    </row>
    <row r="741">
      <c r="A741" s="10"/>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78"/>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10"/>
      <c r="BV741" s="78"/>
      <c r="BW741" s="78"/>
      <c r="BX741" s="78"/>
      <c r="BY741" s="78"/>
      <c r="BZ741" s="78"/>
      <c r="CA741" s="78"/>
      <c r="CB741" s="78"/>
      <c r="CC741" s="78"/>
      <c r="CD741" s="78"/>
    </row>
    <row r="742">
      <c r="A742" s="10"/>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78"/>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10"/>
      <c r="BV742" s="78"/>
      <c r="BW742" s="78"/>
      <c r="BX742" s="78"/>
      <c r="BY742" s="78"/>
      <c r="BZ742" s="78"/>
      <c r="CA742" s="78"/>
      <c r="CB742" s="78"/>
      <c r="CC742" s="78"/>
      <c r="CD742" s="78"/>
    </row>
    <row r="743">
      <c r="A743" s="10"/>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78"/>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10"/>
      <c r="BV743" s="78"/>
      <c r="BW743" s="78"/>
      <c r="BX743" s="78"/>
      <c r="BY743" s="78"/>
      <c r="BZ743" s="78"/>
      <c r="CA743" s="78"/>
      <c r="CB743" s="78"/>
      <c r="CC743" s="78"/>
      <c r="CD743" s="78"/>
    </row>
    <row r="744">
      <c r="A744" s="10"/>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78"/>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10"/>
      <c r="BV744" s="78"/>
      <c r="BW744" s="78"/>
      <c r="BX744" s="78"/>
      <c r="BY744" s="78"/>
      <c r="BZ744" s="78"/>
      <c r="CA744" s="78"/>
      <c r="CB744" s="78"/>
      <c r="CC744" s="78"/>
      <c r="CD744" s="78"/>
    </row>
    <row r="745">
      <c r="A745" s="10"/>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78"/>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10"/>
      <c r="BV745" s="78"/>
      <c r="BW745" s="78"/>
      <c r="BX745" s="78"/>
      <c r="BY745" s="78"/>
      <c r="BZ745" s="78"/>
      <c r="CA745" s="78"/>
      <c r="CB745" s="78"/>
      <c r="CC745" s="78"/>
      <c r="CD745" s="78"/>
    </row>
    <row r="746">
      <c r="A746" s="10"/>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78"/>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10"/>
      <c r="BV746" s="78"/>
      <c r="BW746" s="78"/>
      <c r="BX746" s="78"/>
      <c r="BY746" s="78"/>
      <c r="BZ746" s="78"/>
      <c r="CA746" s="78"/>
      <c r="CB746" s="78"/>
      <c r="CC746" s="78"/>
      <c r="CD746" s="78"/>
    </row>
    <row r="747">
      <c r="A747" s="10"/>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78"/>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10"/>
      <c r="BV747" s="78"/>
      <c r="BW747" s="78"/>
      <c r="BX747" s="78"/>
      <c r="BY747" s="78"/>
      <c r="BZ747" s="78"/>
      <c r="CA747" s="78"/>
      <c r="CB747" s="78"/>
      <c r="CC747" s="78"/>
      <c r="CD747" s="78"/>
    </row>
    <row r="748">
      <c r="A748" s="10"/>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78"/>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10"/>
      <c r="BV748" s="78"/>
      <c r="BW748" s="78"/>
      <c r="BX748" s="78"/>
      <c r="BY748" s="78"/>
      <c r="BZ748" s="78"/>
      <c r="CA748" s="78"/>
      <c r="CB748" s="78"/>
      <c r="CC748" s="78"/>
      <c r="CD748" s="78"/>
    </row>
    <row r="749">
      <c r="A749" s="10"/>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78"/>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10"/>
      <c r="BV749" s="78"/>
      <c r="BW749" s="78"/>
      <c r="BX749" s="78"/>
      <c r="BY749" s="78"/>
      <c r="BZ749" s="78"/>
      <c r="CA749" s="78"/>
      <c r="CB749" s="78"/>
      <c r="CC749" s="78"/>
      <c r="CD749" s="78"/>
    </row>
    <row r="750">
      <c r="A750" s="10"/>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78"/>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10"/>
      <c r="BV750" s="78"/>
      <c r="BW750" s="78"/>
      <c r="BX750" s="78"/>
      <c r="BY750" s="78"/>
      <c r="BZ750" s="78"/>
      <c r="CA750" s="78"/>
      <c r="CB750" s="78"/>
      <c r="CC750" s="78"/>
      <c r="CD750" s="78"/>
    </row>
    <row r="751">
      <c r="A751" s="10"/>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10"/>
      <c r="BV751" s="78"/>
      <c r="BW751" s="78"/>
      <c r="BX751" s="78"/>
      <c r="BY751" s="78"/>
      <c r="BZ751" s="78"/>
      <c r="CA751" s="78"/>
      <c r="CB751" s="78"/>
      <c r="CC751" s="78"/>
      <c r="CD751" s="78"/>
    </row>
    <row r="752">
      <c r="A752" s="10"/>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78"/>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10"/>
      <c r="BV752" s="78"/>
      <c r="BW752" s="78"/>
      <c r="BX752" s="78"/>
      <c r="BY752" s="78"/>
      <c r="BZ752" s="78"/>
      <c r="CA752" s="78"/>
      <c r="CB752" s="78"/>
      <c r="CC752" s="78"/>
      <c r="CD752" s="78"/>
    </row>
    <row r="753">
      <c r="A753" s="10"/>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78"/>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10"/>
      <c r="BV753" s="78"/>
      <c r="BW753" s="78"/>
      <c r="BX753" s="78"/>
      <c r="BY753" s="78"/>
      <c r="BZ753" s="78"/>
      <c r="CA753" s="78"/>
      <c r="CB753" s="78"/>
      <c r="CC753" s="78"/>
      <c r="CD753" s="78"/>
    </row>
    <row r="754">
      <c r="A754" s="10"/>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78"/>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10"/>
      <c r="BV754" s="78"/>
      <c r="BW754" s="78"/>
      <c r="BX754" s="78"/>
      <c r="BY754" s="78"/>
      <c r="BZ754" s="78"/>
      <c r="CA754" s="78"/>
      <c r="CB754" s="78"/>
      <c r="CC754" s="78"/>
      <c r="CD754" s="78"/>
    </row>
    <row r="755">
      <c r="A755" s="10"/>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78"/>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10"/>
      <c r="BV755" s="78"/>
      <c r="BW755" s="78"/>
      <c r="BX755" s="78"/>
      <c r="BY755" s="78"/>
      <c r="BZ755" s="78"/>
      <c r="CA755" s="78"/>
      <c r="CB755" s="78"/>
      <c r="CC755" s="78"/>
      <c r="CD755" s="78"/>
    </row>
    <row r="756">
      <c r="A756" s="10"/>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78"/>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10"/>
      <c r="BV756" s="78"/>
      <c r="BW756" s="78"/>
      <c r="BX756" s="78"/>
      <c r="BY756" s="78"/>
      <c r="BZ756" s="78"/>
      <c r="CA756" s="78"/>
      <c r="CB756" s="78"/>
      <c r="CC756" s="78"/>
      <c r="CD756" s="78"/>
    </row>
    <row r="757">
      <c r="A757" s="10"/>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78"/>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10"/>
      <c r="BV757" s="78"/>
      <c r="BW757" s="78"/>
      <c r="BX757" s="78"/>
      <c r="BY757" s="78"/>
      <c r="BZ757" s="78"/>
      <c r="CA757" s="78"/>
      <c r="CB757" s="78"/>
      <c r="CC757" s="78"/>
      <c r="CD757" s="78"/>
    </row>
    <row r="758">
      <c r="A758" s="10"/>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78"/>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10"/>
      <c r="BV758" s="78"/>
      <c r="BW758" s="78"/>
      <c r="BX758" s="78"/>
      <c r="BY758" s="78"/>
      <c r="BZ758" s="78"/>
      <c r="CA758" s="78"/>
      <c r="CB758" s="78"/>
      <c r="CC758" s="78"/>
      <c r="CD758" s="78"/>
    </row>
    <row r="759">
      <c r="A759" s="10"/>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78"/>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10"/>
      <c r="BV759" s="78"/>
      <c r="BW759" s="78"/>
      <c r="BX759" s="78"/>
      <c r="BY759" s="78"/>
      <c r="BZ759" s="78"/>
      <c r="CA759" s="78"/>
      <c r="CB759" s="78"/>
      <c r="CC759" s="78"/>
      <c r="CD759" s="78"/>
    </row>
    <row r="760">
      <c r="A760" s="10"/>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78"/>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10"/>
      <c r="BV760" s="78"/>
      <c r="BW760" s="78"/>
      <c r="BX760" s="78"/>
      <c r="BY760" s="78"/>
      <c r="BZ760" s="78"/>
      <c r="CA760" s="78"/>
      <c r="CB760" s="78"/>
      <c r="CC760" s="78"/>
      <c r="CD760" s="78"/>
    </row>
    <row r="761">
      <c r="A761" s="10"/>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78"/>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10"/>
      <c r="BV761" s="78"/>
      <c r="BW761" s="78"/>
      <c r="BX761" s="78"/>
      <c r="BY761" s="78"/>
      <c r="BZ761" s="78"/>
      <c r="CA761" s="78"/>
      <c r="CB761" s="78"/>
      <c r="CC761" s="78"/>
      <c r="CD761" s="78"/>
    </row>
    <row r="762">
      <c r="A762" s="10"/>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78"/>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10"/>
      <c r="BV762" s="78"/>
      <c r="BW762" s="78"/>
      <c r="BX762" s="78"/>
      <c r="BY762" s="78"/>
      <c r="BZ762" s="78"/>
      <c r="CA762" s="78"/>
      <c r="CB762" s="78"/>
      <c r="CC762" s="78"/>
      <c r="CD762" s="78"/>
    </row>
    <row r="763">
      <c r="A763" s="10"/>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78"/>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10"/>
      <c r="BV763" s="78"/>
      <c r="BW763" s="78"/>
      <c r="BX763" s="78"/>
      <c r="BY763" s="78"/>
      <c r="BZ763" s="78"/>
      <c r="CA763" s="78"/>
      <c r="CB763" s="78"/>
      <c r="CC763" s="78"/>
      <c r="CD763" s="78"/>
    </row>
    <row r="764">
      <c r="A764" s="10"/>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78"/>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10"/>
      <c r="BV764" s="78"/>
      <c r="BW764" s="78"/>
      <c r="BX764" s="78"/>
      <c r="BY764" s="78"/>
      <c r="BZ764" s="78"/>
      <c r="CA764" s="78"/>
      <c r="CB764" s="78"/>
      <c r="CC764" s="78"/>
      <c r="CD764" s="78"/>
    </row>
    <row r="765">
      <c r="A765" s="10"/>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78"/>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10"/>
      <c r="BV765" s="78"/>
      <c r="BW765" s="78"/>
      <c r="BX765" s="78"/>
      <c r="BY765" s="78"/>
      <c r="BZ765" s="78"/>
      <c r="CA765" s="78"/>
      <c r="CB765" s="78"/>
      <c r="CC765" s="78"/>
      <c r="CD765" s="78"/>
    </row>
    <row r="766">
      <c r="A766" s="10"/>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78"/>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10"/>
      <c r="BV766" s="78"/>
      <c r="BW766" s="78"/>
      <c r="BX766" s="78"/>
      <c r="BY766" s="78"/>
      <c r="BZ766" s="78"/>
      <c r="CA766" s="78"/>
      <c r="CB766" s="78"/>
      <c r="CC766" s="78"/>
      <c r="CD766" s="78"/>
    </row>
    <row r="767">
      <c r="A767" s="10"/>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78"/>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10"/>
      <c r="BV767" s="78"/>
      <c r="BW767" s="78"/>
      <c r="BX767" s="78"/>
      <c r="BY767" s="78"/>
      <c r="BZ767" s="78"/>
      <c r="CA767" s="78"/>
      <c r="CB767" s="78"/>
      <c r="CC767" s="78"/>
      <c r="CD767" s="78"/>
    </row>
    <row r="768">
      <c r="A768" s="10"/>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78"/>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10"/>
      <c r="BV768" s="78"/>
      <c r="BW768" s="78"/>
      <c r="BX768" s="78"/>
      <c r="BY768" s="78"/>
      <c r="BZ768" s="78"/>
      <c r="CA768" s="78"/>
      <c r="CB768" s="78"/>
      <c r="CC768" s="78"/>
      <c r="CD768" s="78"/>
    </row>
    <row r="769">
      <c r="A769" s="10"/>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78"/>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10"/>
      <c r="BV769" s="78"/>
      <c r="BW769" s="78"/>
      <c r="BX769" s="78"/>
      <c r="BY769" s="78"/>
      <c r="BZ769" s="78"/>
      <c r="CA769" s="78"/>
      <c r="CB769" s="78"/>
      <c r="CC769" s="78"/>
      <c r="CD769" s="78"/>
    </row>
    <row r="770">
      <c r="A770" s="10"/>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78"/>
      <c r="AS770" s="78"/>
      <c r="AT770" s="78"/>
      <c r="AU770" s="78"/>
      <c r="AV770" s="78"/>
      <c r="AW770" s="78"/>
      <c r="AX770" s="78"/>
      <c r="AY770" s="78"/>
      <c r="AZ770" s="78"/>
      <c r="BA770" s="78"/>
      <c r="BB770" s="78"/>
      <c r="BC770" s="78"/>
      <c r="BD770" s="78"/>
      <c r="BE770" s="78"/>
      <c r="BF770" s="78"/>
      <c r="BG770" s="78"/>
      <c r="BH770" s="78"/>
      <c r="BI770" s="78"/>
      <c r="BJ770" s="78"/>
      <c r="BK770" s="78"/>
      <c r="BL770" s="78"/>
      <c r="BM770" s="78"/>
      <c r="BN770" s="78"/>
      <c r="BO770" s="78"/>
      <c r="BP770" s="78"/>
      <c r="BQ770" s="78"/>
      <c r="BR770" s="78"/>
      <c r="BS770" s="78"/>
      <c r="BT770" s="78"/>
      <c r="BU770" s="10"/>
      <c r="BV770" s="78"/>
      <c r="BW770" s="78"/>
      <c r="BX770" s="78"/>
      <c r="BY770" s="78"/>
      <c r="BZ770" s="78"/>
      <c r="CA770" s="78"/>
      <c r="CB770" s="78"/>
      <c r="CC770" s="78"/>
      <c r="CD770" s="78"/>
    </row>
    <row r="771">
      <c r="A771" s="10"/>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78"/>
      <c r="AY771" s="78"/>
      <c r="AZ771" s="78"/>
      <c r="BA771" s="78"/>
      <c r="BB771" s="78"/>
      <c r="BC771" s="78"/>
      <c r="BD771" s="78"/>
      <c r="BE771" s="78"/>
      <c r="BF771" s="78"/>
      <c r="BG771" s="78"/>
      <c r="BH771" s="78"/>
      <c r="BI771" s="78"/>
      <c r="BJ771" s="78"/>
      <c r="BK771" s="78"/>
      <c r="BL771" s="78"/>
      <c r="BM771" s="78"/>
      <c r="BN771" s="78"/>
      <c r="BO771" s="78"/>
      <c r="BP771" s="78"/>
      <c r="BQ771" s="78"/>
      <c r="BR771" s="78"/>
      <c r="BS771" s="78"/>
      <c r="BT771" s="78"/>
      <c r="BU771" s="10"/>
      <c r="BV771" s="78"/>
      <c r="BW771" s="78"/>
      <c r="BX771" s="78"/>
      <c r="BY771" s="78"/>
      <c r="BZ771" s="78"/>
      <c r="CA771" s="78"/>
      <c r="CB771" s="78"/>
      <c r="CC771" s="78"/>
      <c r="CD771" s="78"/>
    </row>
    <row r="772">
      <c r="A772" s="10"/>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78"/>
      <c r="AY772" s="78"/>
      <c r="AZ772" s="78"/>
      <c r="BA772" s="78"/>
      <c r="BB772" s="78"/>
      <c r="BC772" s="78"/>
      <c r="BD772" s="78"/>
      <c r="BE772" s="78"/>
      <c r="BF772" s="78"/>
      <c r="BG772" s="78"/>
      <c r="BH772" s="78"/>
      <c r="BI772" s="78"/>
      <c r="BJ772" s="78"/>
      <c r="BK772" s="78"/>
      <c r="BL772" s="78"/>
      <c r="BM772" s="78"/>
      <c r="BN772" s="78"/>
      <c r="BO772" s="78"/>
      <c r="BP772" s="78"/>
      <c r="BQ772" s="78"/>
      <c r="BR772" s="78"/>
      <c r="BS772" s="78"/>
      <c r="BT772" s="78"/>
      <c r="BU772" s="10"/>
      <c r="BV772" s="78"/>
      <c r="BW772" s="78"/>
      <c r="BX772" s="78"/>
      <c r="BY772" s="78"/>
      <c r="BZ772" s="78"/>
      <c r="CA772" s="78"/>
      <c r="CB772" s="78"/>
      <c r="CC772" s="78"/>
      <c r="CD772" s="78"/>
    </row>
    <row r="773">
      <c r="A773" s="10"/>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78"/>
      <c r="AS773" s="78"/>
      <c r="AT773" s="78"/>
      <c r="AU773" s="78"/>
      <c r="AV773" s="78"/>
      <c r="AW773" s="78"/>
      <c r="AX773" s="78"/>
      <c r="AY773" s="78"/>
      <c r="AZ773" s="78"/>
      <c r="BA773" s="78"/>
      <c r="BB773" s="78"/>
      <c r="BC773" s="78"/>
      <c r="BD773" s="78"/>
      <c r="BE773" s="78"/>
      <c r="BF773" s="78"/>
      <c r="BG773" s="78"/>
      <c r="BH773" s="78"/>
      <c r="BI773" s="78"/>
      <c r="BJ773" s="78"/>
      <c r="BK773" s="78"/>
      <c r="BL773" s="78"/>
      <c r="BM773" s="78"/>
      <c r="BN773" s="78"/>
      <c r="BO773" s="78"/>
      <c r="BP773" s="78"/>
      <c r="BQ773" s="78"/>
      <c r="BR773" s="78"/>
      <c r="BS773" s="78"/>
      <c r="BT773" s="78"/>
      <c r="BU773" s="10"/>
      <c r="BV773" s="78"/>
      <c r="BW773" s="78"/>
      <c r="BX773" s="78"/>
      <c r="BY773" s="78"/>
      <c r="BZ773" s="78"/>
      <c r="CA773" s="78"/>
      <c r="CB773" s="78"/>
      <c r="CC773" s="78"/>
      <c r="CD773" s="78"/>
    </row>
    <row r="774">
      <c r="A774" s="10"/>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78"/>
      <c r="AS774" s="78"/>
      <c r="AT774" s="78"/>
      <c r="AU774" s="78"/>
      <c r="AV774" s="78"/>
      <c r="AW774" s="78"/>
      <c r="AX774" s="78"/>
      <c r="AY774" s="78"/>
      <c r="AZ774" s="78"/>
      <c r="BA774" s="78"/>
      <c r="BB774" s="78"/>
      <c r="BC774" s="78"/>
      <c r="BD774" s="78"/>
      <c r="BE774" s="78"/>
      <c r="BF774" s="78"/>
      <c r="BG774" s="78"/>
      <c r="BH774" s="78"/>
      <c r="BI774" s="78"/>
      <c r="BJ774" s="78"/>
      <c r="BK774" s="78"/>
      <c r="BL774" s="78"/>
      <c r="BM774" s="78"/>
      <c r="BN774" s="78"/>
      <c r="BO774" s="78"/>
      <c r="BP774" s="78"/>
      <c r="BQ774" s="78"/>
      <c r="BR774" s="78"/>
      <c r="BS774" s="78"/>
      <c r="BT774" s="78"/>
      <c r="BU774" s="10"/>
      <c r="BV774" s="78"/>
      <c r="BW774" s="78"/>
      <c r="BX774" s="78"/>
      <c r="BY774" s="78"/>
      <c r="BZ774" s="78"/>
      <c r="CA774" s="78"/>
      <c r="CB774" s="78"/>
      <c r="CC774" s="78"/>
      <c r="CD774" s="78"/>
    </row>
    <row r="775">
      <c r="A775" s="10"/>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78"/>
      <c r="AY775" s="78"/>
      <c r="AZ775" s="78"/>
      <c r="BA775" s="78"/>
      <c r="BB775" s="78"/>
      <c r="BC775" s="78"/>
      <c r="BD775" s="78"/>
      <c r="BE775" s="78"/>
      <c r="BF775" s="78"/>
      <c r="BG775" s="78"/>
      <c r="BH775" s="78"/>
      <c r="BI775" s="78"/>
      <c r="BJ775" s="78"/>
      <c r="BK775" s="78"/>
      <c r="BL775" s="78"/>
      <c r="BM775" s="78"/>
      <c r="BN775" s="78"/>
      <c r="BO775" s="78"/>
      <c r="BP775" s="78"/>
      <c r="BQ775" s="78"/>
      <c r="BR775" s="78"/>
      <c r="BS775" s="78"/>
      <c r="BT775" s="78"/>
      <c r="BU775" s="10"/>
      <c r="BV775" s="78"/>
      <c r="BW775" s="78"/>
      <c r="BX775" s="78"/>
      <c r="BY775" s="78"/>
      <c r="BZ775" s="78"/>
      <c r="CA775" s="78"/>
      <c r="CB775" s="78"/>
      <c r="CC775" s="78"/>
      <c r="CD775" s="78"/>
    </row>
    <row r="776">
      <c r="A776" s="10"/>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78"/>
      <c r="AS776" s="78"/>
      <c r="AT776" s="78"/>
      <c r="AU776" s="78"/>
      <c r="AV776" s="78"/>
      <c r="AW776" s="78"/>
      <c r="AX776" s="78"/>
      <c r="AY776" s="78"/>
      <c r="AZ776" s="78"/>
      <c r="BA776" s="78"/>
      <c r="BB776" s="78"/>
      <c r="BC776" s="78"/>
      <c r="BD776" s="78"/>
      <c r="BE776" s="78"/>
      <c r="BF776" s="78"/>
      <c r="BG776" s="78"/>
      <c r="BH776" s="78"/>
      <c r="BI776" s="78"/>
      <c r="BJ776" s="78"/>
      <c r="BK776" s="78"/>
      <c r="BL776" s="78"/>
      <c r="BM776" s="78"/>
      <c r="BN776" s="78"/>
      <c r="BO776" s="78"/>
      <c r="BP776" s="78"/>
      <c r="BQ776" s="78"/>
      <c r="BR776" s="78"/>
      <c r="BS776" s="78"/>
      <c r="BT776" s="78"/>
      <c r="BU776" s="10"/>
      <c r="BV776" s="78"/>
      <c r="BW776" s="78"/>
      <c r="BX776" s="78"/>
      <c r="BY776" s="78"/>
      <c r="BZ776" s="78"/>
      <c r="CA776" s="78"/>
      <c r="CB776" s="78"/>
      <c r="CC776" s="78"/>
      <c r="CD776" s="78"/>
    </row>
    <row r="777">
      <c r="A777" s="10"/>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78"/>
      <c r="AY777" s="78"/>
      <c r="AZ777" s="78"/>
      <c r="BA777" s="78"/>
      <c r="BB777" s="78"/>
      <c r="BC777" s="78"/>
      <c r="BD777" s="78"/>
      <c r="BE777" s="78"/>
      <c r="BF777" s="78"/>
      <c r="BG777" s="78"/>
      <c r="BH777" s="78"/>
      <c r="BI777" s="78"/>
      <c r="BJ777" s="78"/>
      <c r="BK777" s="78"/>
      <c r="BL777" s="78"/>
      <c r="BM777" s="78"/>
      <c r="BN777" s="78"/>
      <c r="BO777" s="78"/>
      <c r="BP777" s="78"/>
      <c r="BQ777" s="78"/>
      <c r="BR777" s="78"/>
      <c r="BS777" s="78"/>
      <c r="BT777" s="78"/>
      <c r="BU777" s="10"/>
      <c r="BV777" s="78"/>
      <c r="BW777" s="78"/>
      <c r="BX777" s="78"/>
      <c r="BY777" s="78"/>
      <c r="BZ777" s="78"/>
      <c r="CA777" s="78"/>
      <c r="CB777" s="78"/>
      <c r="CC777" s="78"/>
      <c r="CD777" s="78"/>
    </row>
    <row r="778">
      <c r="A778" s="10"/>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78"/>
      <c r="AS778" s="78"/>
      <c r="AT778" s="78"/>
      <c r="AU778" s="78"/>
      <c r="AV778" s="78"/>
      <c r="AW778" s="78"/>
      <c r="AX778" s="78"/>
      <c r="AY778" s="78"/>
      <c r="AZ778" s="78"/>
      <c r="BA778" s="78"/>
      <c r="BB778" s="78"/>
      <c r="BC778" s="78"/>
      <c r="BD778" s="78"/>
      <c r="BE778" s="78"/>
      <c r="BF778" s="78"/>
      <c r="BG778" s="78"/>
      <c r="BH778" s="78"/>
      <c r="BI778" s="78"/>
      <c r="BJ778" s="78"/>
      <c r="BK778" s="78"/>
      <c r="BL778" s="78"/>
      <c r="BM778" s="78"/>
      <c r="BN778" s="78"/>
      <c r="BO778" s="78"/>
      <c r="BP778" s="78"/>
      <c r="BQ778" s="78"/>
      <c r="BR778" s="78"/>
      <c r="BS778" s="78"/>
      <c r="BT778" s="78"/>
      <c r="BU778" s="10"/>
      <c r="BV778" s="78"/>
      <c r="BW778" s="78"/>
      <c r="BX778" s="78"/>
      <c r="BY778" s="78"/>
      <c r="BZ778" s="78"/>
      <c r="CA778" s="78"/>
      <c r="CB778" s="78"/>
      <c r="CC778" s="78"/>
      <c r="CD778" s="78"/>
    </row>
    <row r="779">
      <c r="A779" s="10"/>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78"/>
      <c r="AS779" s="78"/>
      <c r="AT779" s="78"/>
      <c r="AU779" s="78"/>
      <c r="AV779" s="78"/>
      <c r="AW779" s="78"/>
      <c r="AX779" s="78"/>
      <c r="AY779" s="78"/>
      <c r="AZ779" s="78"/>
      <c r="BA779" s="78"/>
      <c r="BB779" s="78"/>
      <c r="BC779" s="78"/>
      <c r="BD779" s="78"/>
      <c r="BE779" s="78"/>
      <c r="BF779" s="78"/>
      <c r="BG779" s="78"/>
      <c r="BH779" s="78"/>
      <c r="BI779" s="78"/>
      <c r="BJ779" s="78"/>
      <c r="BK779" s="78"/>
      <c r="BL779" s="78"/>
      <c r="BM779" s="78"/>
      <c r="BN779" s="78"/>
      <c r="BO779" s="78"/>
      <c r="BP779" s="78"/>
      <c r="BQ779" s="78"/>
      <c r="BR779" s="78"/>
      <c r="BS779" s="78"/>
      <c r="BT779" s="78"/>
      <c r="BU779" s="10"/>
      <c r="BV779" s="78"/>
      <c r="BW779" s="78"/>
      <c r="BX779" s="78"/>
      <c r="BY779" s="78"/>
      <c r="BZ779" s="78"/>
      <c r="CA779" s="78"/>
      <c r="CB779" s="78"/>
      <c r="CC779" s="78"/>
      <c r="CD779" s="78"/>
    </row>
    <row r="780">
      <c r="A780" s="10"/>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78"/>
      <c r="AS780" s="78"/>
      <c r="AT780" s="78"/>
      <c r="AU780" s="78"/>
      <c r="AV780" s="78"/>
      <c r="AW780" s="78"/>
      <c r="AX780" s="78"/>
      <c r="AY780" s="78"/>
      <c r="AZ780" s="78"/>
      <c r="BA780" s="78"/>
      <c r="BB780" s="78"/>
      <c r="BC780" s="78"/>
      <c r="BD780" s="78"/>
      <c r="BE780" s="78"/>
      <c r="BF780" s="78"/>
      <c r="BG780" s="78"/>
      <c r="BH780" s="78"/>
      <c r="BI780" s="78"/>
      <c r="BJ780" s="78"/>
      <c r="BK780" s="78"/>
      <c r="BL780" s="78"/>
      <c r="BM780" s="78"/>
      <c r="BN780" s="78"/>
      <c r="BO780" s="78"/>
      <c r="BP780" s="78"/>
      <c r="BQ780" s="78"/>
      <c r="BR780" s="78"/>
      <c r="BS780" s="78"/>
      <c r="BT780" s="78"/>
      <c r="BU780" s="10"/>
      <c r="BV780" s="78"/>
      <c r="BW780" s="78"/>
      <c r="BX780" s="78"/>
      <c r="BY780" s="78"/>
      <c r="BZ780" s="78"/>
      <c r="CA780" s="78"/>
      <c r="CB780" s="78"/>
      <c r="CC780" s="78"/>
      <c r="CD780" s="78"/>
    </row>
    <row r="781">
      <c r="A781" s="10"/>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78"/>
      <c r="AY781" s="78"/>
      <c r="AZ781" s="78"/>
      <c r="BA781" s="78"/>
      <c r="BB781" s="78"/>
      <c r="BC781" s="78"/>
      <c r="BD781" s="78"/>
      <c r="BE781" s="78"/>
      <c r="BF781" s="78"/>
      <c r="BG781" s="78"/>
      <c r="BH781" s="78"/>
      <c r="BI781" s="78"/>
      <c r="BJ781" s="78"/>
      <c r="BK781" s="78"/>
      <c r="BL781" s="78"/>
      <c r="BM781" s="78"/>
      <c r="BN781" s="78"/>
      <c r="BO781" s="78"/>
      <c r="BP781" s="78"/>
      <c r="BQ781" s="78"/>
      <c r="BR781" s="78"/>
      <c r="BS781" s="78"/>
      <c r="BT781" s="78"/>
      <c r="BU781" s="10"/>
      <c r="BV781" s="78"/>
      <c r="BW781" s="78"/>
      <c r="BX781" s="78"/>
      <c r="BY781" s="78"/>
      <c r="BZ781" s="78"/>
      <c r="CA781" s="78"/>
      <c r="CB781" s="78"/>
      <c r="CC781" s="78"/>
      <c r="CD781" s="78"/>
    </row>
    <row r="782">
      <c r="A782" s="10"/>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78"/>
      <c r="AS782" s="78"/>
      <c r="AT782" s="78"/>
      <c r="AU782" s="78"/>
      <c r="AV782" s="78"/>
      <c r="AW782" s="78"/>
      <c r="AX782" s="78"/>
      <c r="AY782" s="78"/>
      <c r="AZ782" s="78"/>
      <c r="BA782" s="78"/>
      <c r="BB782" s="78"/>
      <c r="BC782" s="78"/>
      <c r="BD782" s="78"/>
      <c r="BE782" s="78"/>
      <c r="BF782" s="78"/>
      <c r="BG782" s="78"/>
      <c r="BH782" s="78"/>
      <c r="BI782" s="78"/>
      <c r="BJ782" s="78"/>
      <c r="BK782" s="78"/>
      <c r="BL782" s="78"/>
      <c r="BM782" s="78"/>
      <c r="BN782" s="78"/>
      <c r="BO782" s="78"/>
      <c r="BP782" s="78"/>
      <c r="BQ782" s="78"/>
      <c r="BR782" s="78"/>
      <c r="BS782" s="78"/>
      <c r="BT782" s="78"/>
      <c r="BU782" s="10"/>
      <c r="BV782" s="78"/>
      <c r="BW782" s="78"/>
      <c r="BX782" s="78"/>
      <c r="BY782" s="78"/>
      <c r="BZ782" s="78"/>
      <c r="CA782" s="78"/>
      <c r="CB782" s="78"/>
      <c r="CC782" s="78"/>
      <c r="CD782" s="78"/>
    </row>
    <row r="783">
      <c r="A783" s="10"/>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78"/>
      <c r="AS783" s="78"/>
      <c r="AT783" s="78"/>
      <c r="AU783" s="78"/>
      <c r="AV783" s="78"/>
      <c r="AW783" s="78"/>
      <c r="AX783" s="78"/>
      <c r="AY783" s="78"/>
      <c r="AZ783" s="78"/>
      <c r="BA783" s="78"/>
      <c r="BB783" s="78"/>
      <c r="BC783" s="78"/>
      <c r="BD783" s="78"/>
      <c r="BE783" s="78"/>
      <c r="BF783" s="78"/>
      <c r="BG783" s="78"/>
      <c r="BH783" s="78"/>
      <c r="BI783" s="78"/>
      <c r="BJ783" s="78"/>
      <c r="BK783" s="78"/>
      <c r="BL783" s="78"/>
      <c r="BM783" s="78"/>
      <c r="BN783" s="78"/>
      <c r="BO783" s="78"/>
      <c r="BP783" s="78"/>
      <c r="BQ783" s="78"/>
      <c r="BR783" s="78"/>
      <c r="BS783" s="78"/>
      <c r="BT783" s="78"/>
      <c r="BU783" s="10"/>
      <c r="BV783" s="78"/>
      <c r="BW783" s="78"/>
      <c r="BX783" s="78"/>
      <c r="BY783" s="78"/>
      <c r="BZ783" s="78"/>
      <c r="CA783" s="78"/>
      <c r="CB783" s="78"/>
      <c r="CC783" s="78"/>
      <c r="CD783" s="78"/>
    </row>
    <row r="784">
      <c r="A784" s="10"/>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78"/>
      <c r="AS784" s="78"/>
      <c r="AT784" s="78"/>
      <c r="AU784" s="78"/>
      <c r="AV784" s="78"/>
      <c r="AW784" s="78"/>
      <c r="AX784" s="78"/>
      <c r="AY784" s="78"/>
      <c r="AZ784" s="78"/>
      <c r="BA784" s="78"/>
      <c r="BB784" s="78"/>
      <c r="BC784" s="78"/>
      <c r="BD784" s="78"/>
      <c r="BE784" s="78"/>
      <c r="BF784" s="78"/>
      <c r="BG784" s="78"/>
      <c r="BH784" s="78"/>
      <c r="BI784" s="78"/>
      <c r="BJ784" s="78"/>
      <c r="BK784" s="78"/>
      <c r="BL784" s="78"/>
      <c r="BM784" s="78"/>
      <c r="BN784" s="78"/>
      <c r="BO784" s="78"/>
      <c r="BP784" s="78"/>
      <c r="BQ784" s="78"/>
      <c r="BR784" s="78"/>
      <c r="BS784" s="78"/>
      <c r="BT784" s="78"/>
      <c r="BU784" s="10"/>
      <c r="BV784" s="78"/>
      <c r="BW784" s="78"/>
      <c r="BX784" s="78"/>
      <c r="BY784" s="78"/>
      <c r="BZ784" s="78"/>
      <c r="CA784" s="78"/>
      <c r="CB784" s="78"/>
      <c r="CC784" s="78"/>
      <c r="CD784" s="78"/>
    </row>
    <row r="785">
      <c r="A785" s="10"/>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78"/>
      <c r="AS785" s="78"/>
      <c r="AT785" s="78"/>
      <c r="AU785" s="78"/>
      <c r="AV785" s="78"/>
      <c r="AW785" s="78"/>
      <c r="AX785" s="78"/>
      <c r="AY785" s="78"/>
      <c r="AZ785" s="78"/>
      <c r="BA785" s="78"/>
      <c r="BB785" s="78"/>
      <c r="BC785" s="78"/>
      <c r="BD785" s="78"/>
      <c r="BE785" s="78"/>
      <c r="BF785" s="78"/>
      <c r="BG785" s="78"/>
      <c r="BH785" s="78"/>
      <c r="BI785" s="78"/>
      <c r="BJ785" s="78"/>
      <c r="BK785" s="78"/>
      <c r="BL785" s="78"/>
      <c r="BM785" s="78"/>
      <c r="BN785" s="78"/>
      <c r="BO785" s="78"/>
      <c r="BP785" s="78"/>
      <c r="BQ785" s="78"/>
      <c r="BR785" s="78"/>
      <c r="BS785" s="78"/>
      <c r="BT785" s="78"/>
      <c r="BU785" s="10"/>
      <c r="BV785" s="78"/>
      <c r="BW785" s="78"/>
      <c r="BX785" s="78"/>
      <c r="BY785" s="78"/>
      <c r="BZ785" s="78"/>
      <c r="CA785" s="78"/>
      <c r="CB785" s="78"/>
      <c r="CC785" s="78"/>
      <c r="CD785" s="78"/>
    </row>
    <row r="786">
      <c r="A786" s="10"/>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78"/>
      <c r="AS786" s="78"/>
      <c r="AT786" s="78"/>
      <c r="AU786" s="78"/>
      <c r="AV786" s="78"/>
      <c r="AW786" s="78"/>
      <c r="AX786" s="78"/>
      <c r="AY786" s="78"/>
      <c r="AZ786" s="78"/>
      <c r="BA786" s="78"/>
      <c r="BB786" s="78"/>
      <c r="BC786" s="78"/>
      <c r="BD786" s="78"/>
      <c r="BE786" s="78"/>
      <c r="BF786" s="78"/>
      <c r="BG786" s="78"/>
      <c r="BH786" s="78"/>
      <c r="BI786" s="78"/>
      <c r="BJ786" s="78"/>
      <c r="BK786" s="78"/>
      <c r="BL786" s="78"/>
      <c r="BM786" s="78"/>
      <c r="BN786" s="78"/>
      <c r="BO786" s="78"/>
      <c r="BP786" s="78"/>
      <c r="BQ786" s="78"/>
      <c r="BR786" s="78"/>
      <c r="BS786" s="78"/>
      <c r="BT786" s="78"/>
      <c r="BU786" s="10"/>
      <c r="BV786" s="78"/>
      <c r="BW786" s="78"/>
      <c r="BX786" s="78"/>
      <c r="BY786" s="78"/>
      <c r="BZ786" s="78"/>
      <c r="CA786" s="78"/>
      <c r="CB786" s="78"/>
      <c r="CC786" s="78"/>
      <c r="CD786" s="78"/>
    </row>
    <row r="787">
      <c r="A787" s="10"/>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78"/>
      <c r="AY787" s="78"/>
      <c r="AZ787" s="78"/>
      <c r="BA787" s="78"/>
      <c r="BB787" s="78"/>
      <c r="BC787" s="78"/>
      <c r="BD787" s="78"/>
      <c r="BE787" s="78"/>
      <c r="BF787" s="78"/>
      <c r="BG787" s="78"/>
      <c r="BH787" s="78"/>
      <c r="BI787" s="78"/>
      <c r="BJ787" s="78"/>
      <c r="BK787" s="78"/>
      <c r="BL787" s="78"/>
      <c r="BM787" s="78"/>
      <c r="BN787" s="78"/>
      <c r="BO787" s="78"/>
      <c r="BP787" s="78"/>
      <c r="BQ787" s="78"/>
      <c r="BR787" s="78"/>
      <c r="BS787" s="78"/>
      <c r="BT787" s="78"/>
      <c r="BU787" s="10"/>
      <c r="BV787" s="78"/>
      <c r="BW787" s="78"/>
      <c r="BX787" s="78"/>
      <c r="BY787" s="78"/>
      <c r="BZ787" s="78"/>
      <c r="CA787" s="78"/>
      <c r="CB787" s="78"/>
      <c r="CC787" s="78"/>
      <c r="CD787" s="78"/>
    </row>
    <row r="788">
      <c r="A788" s="10"/>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78"/>
      <c r="AS788" s="78"/>
      <c r="AT788" s="78"/>
      <c r="AU788" s="78"/>
      <c r="AV788" s="78"/>
      <c r="AW788" s="78"/>
      <c r="AX788" s="78"/>
      <c r="AY788" s="78"/>
      <c r="AZ788" s="78"/>
      <c r="BA788" s="78"/>
      <c r="BB788" s="78"/>
      <c r="BC788" s="78"/>
      <c r="BD788" s="78"/>
      <c r="BE788" s="78"/>
      <c r="BF788" s="78"/>
      <c r="BG788" s="78"/>
      <c r="BH788" s="78"/>
      <c r="BI788" s="78"/>
      <c r="BJ788" s="78"/>
      <c r="BK788" s="78"/>
      <c r="BL788" s="78"/>
      <c r="BM788" s="78"/>
      <c r="BN788" s="78"/>
      <c r="BO788" s="78"/>
      <c r="BP788" s="78"/>
      <c r="BQ788" s="78"/>
      <c r="BR788" s="78"/>
      <c r="BS788" s="78"/>
      <c r="BT788" s="78"/>
      <c r="BU788" s="10"/>
      <c r="BV788" s="78"/>
      <c r="BW788" s="78"/>
      <c r="BX788" s="78"/>
      <c r="BY788" s="78"/>
      <c r="BZ788" s="78"/>
      <c r="CA788" s="78"/>
      <c r="CB788" s="78"/>
      <c r="CC788" s="78"/>
      <c r="CD788" s="78"/>
    </row>
    <row r="789">
      <c r="A789" s="10"/>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78"/>
      <c r="AS789" s="78"/>
      <c r="AT789" s="78"/>
      <c r="AU789" s="78"/>
      <c r="AV789" s="78"/>
      <c r="AW789" s="78"/>
      <c r="AX789" s="78"/>
      <c r="AY789" s="78"/>
      <c r="AZ789" s="78"/>
      <c r="BA789" s="78"/>
      <c r="BB789" s="78"/>
      <c r="BC789" s="78"/>
      <c r="BD789" s="78"/>
      <c r="BE789" s="78"/>
      <c r="BF789" s="78"/>
      <c r="BG789" s="78"/>
      <c r="BH789" s="78"/>
      <c r="BI789" s="78"/>
      <c r="BJ789" s="78"/>
      <c r="BK789" s="78"/>
      <c r="BL789" s="78"/>
      <c r="BM789" s="78"/>
      <c r="BN789" s="78"/>
      <c r="BO789" s="78"/>
      <c r="BP789" s="78"/>
      <c r="BQ789" s="78"/>
      <c r="BR789" s="78"/>
      <c r="BS789" s="78"/>
      <c r="BT789" s="78"/>
      <c r="BU789" s="10"/>
      <c r="BV789" s="78"/>
      <c r="BW789" s="78"/>
      <c r="BX789" s="78"/>
      <c r="BY789" s="78"/>
      <c r="BZ789" s="78"/>
      <c r="CA789" s="78"/>
      <c r="CB789" s="78"/>
      <c r="CC789" s="78"/>
      <c r="CD789" s="78"/>
    </row>
    <row r="790">
      <c r="A790" s="10"/>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78"/>
      <c r="AS790" s="78"/>
      <c r="AT790" s="78"/>
      <c r="AU790" s="78"/>
      <c r="AV790" s="78"/>
      <c r="AW790" s="78"/>
      <c r="AX790" s="78"/>
      <c r="AY790" s="78"/>
      <c r="AZ790" s="78"/>
      <c r="BA790" s="78"/>
      <c r="BB790" s="78"/>
      <c r="BC790" s="78"/>
      <c r="BD790" s="78"/>
      <c r="BE790" s="78"/>
      <c r="BF790" s="78"/>
      <c r="BG790" s="78"/>
      <c r="BH790" s="78"/>
      <c r="BI790" s="78"/>
      <c r="BJ790" s="78"/>
      <c r="BK790" s="78"/>
      <c r="BL790" s="78"/>
      <c r="BM790" s="78"/>
      <c r="BN790" s="78"/>
      <c r="BO790" s="78"/>
      <c r="BP790" s="78"/>
      <c r="BQ790" s="78"/>
      <c r="BR790" s="78"/>
      <c r="BS790" s="78"/>
      <c r="BT790" s="78"/>
      <c r="BU790" s="10"/>
      <c r="BV790" s="78"/>
      <c r="BW790" s="78"/>
      <c r="BX790" s="78"/>
      <c r="BY790" s="78"/>
      <c r="BZ790" s="78"/>
      <c r="CA790" s="78"/>
      <c r="CB790" s="78"/>
      <c r="CC790" s="78"/>
      <c r="CD790" s="78"/>
    </row>
    <row r="791">
      <c r="A791" s="10"/>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78"/>
      <c r="AY791" s="78"/>
      <c r="AZ791" s="78"/>
      <c r="BA791" s="78"/>
      <c r="BB791" s="78"/>
      <c r="BC791" s="78"/>
      <c r="BD791" s="78"/>
      <c r="BE791" s="78"/>
      <c r="BF791" s="78"/>
      <c r="BG791" s="78"/>
      <c r="BH791" s="78"/>
      <c r="BI791" s="78"/>
      <c r="BJ791" s="78"/>
      <c r="BK791" s="78"/>
      <c r="BL791" s="78"/>
      <c r="BM791" s="78"/>
      <c r="BN791" s="78"/>
      <c r="BO791" s="78"/>
      <c r="BP791" s="78"/>
      <c r="BQ791" s="78"/>
      <c r="BR791" s="78"/>
      <c r="BS791" s="78"/>
      <c r="BT791" s="78"/>
      <c r="BU791" s="10"/>
      <c r="BV791" s="78"/>
      <c r="BW791" s="78"/>
      <c r="BX791" s="78"/>
      <c r="BY791" s="78"/>
      <c r="BZ791" s="78"/>
      <c r="CA791" s="78"/>
      <c r="CB791" s="78"/>
      <c r="CC791" s="78"/>
      <c r="CD791" s="78"/>
    </row>
    <row r="792">
      <c r="A792" s="10"/>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78"/>
      <c r="AS792" s="78"/>
      <c r="AT792" s="78"/>
      <c r="AU792" s="78"/>
      <c r="AV792" s="78"/>
      <c r="AW792" s="78"/>
      <c r="AX792" s="78"/>
      <c r="AY792" s="78"/>
      <c r="AZ792" s="78"/>
      <c r="BA792" s="78"/>
      <c r="BB792" s="78"/>
      <c r="BC792" s="78"/>
      <c r="BD792" s="78"/>
      <c r="BE792" s="78"/>
      <c r="BF792" s="78"/>
      <c r="BG792" s="78"/>
      <c r="BH792" s="78"/>
      <c r="BI792" s="78"/>
      <c r="BJ792" s="78"/>
      <c r="BK792" s="78"/>
      <c r="BL792" s="78"/>
      <c r="BM792" s="78"/>
      <c r="BN792" s="78"/>
      <c r="BO792" s="78"/>
      <c r="BP792" s="78"/>
      <c r="BQ792" s="78"/>
      <c r="BR792" s="78"/>
      <c r="BS792" s="78"/>
      <c r="BT792" s="78"/>
      <c r="BU792" s="10"/>
      <c r="BV792" s="78"/>
      <c r="BW792" s="78"/>
      <c r="BX792" s="78"/>
      <c r="BY792" s="78"/>
      <c r="BZ792" s="78"/>
      <c r="CA792" s="78"/>
      <c r="CB792" s="78"/>
      <c r="CC792" s="78"/>
      <c r="CD792" s="78"/>
    </row>
    <row r="793">
      <c r="A793" s="10"/>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78"/>
      <c r="AS793" s="78"/>
      <c r="AT793" s="78"/>
      <c r="AU793" s="78"/>
      <c r="AV793" s="78"/>
      <c r="AW793" s="78"/>
      <c r="AX793" s="78"/>
      <c r="AY793" s="78"/>
      <c r="AZ793" s="78"/>
      <c r="BA793" s="78"/>
      <c r="BB793" s="78"/>
      <c r="BC793" s="78"/>
      <c r="BD793" s="78"/>
      <c r="BE793" s="78"/>
      <c r="BF793" s="78"/>
      <c r="BG793" s="78"/>
      <c r="BH793" s="78"/>
      <c r="BI793" s="78"/>
      <c r="BJ793" s="78"/>
      <c r="BK793" s="78"/>
      <c r="BL793" s="78"/>
      <c r="BM793" s="78"/>
      <c r="BN793" s="78"/>
      <c r="BO793" s="78"/>
      <c r="BP793" s="78"/>
      <c r="BQ793" s="78"/>
      <c r="BR793" s="78"/>
      <c r="BS793" s="78"/>
      <c r="BT793" s="78"/>
      <c r="BU793" s="10"/>
      <c r="BV793" s="78"/>
      <c r="BW793" s="78"/>
      <c r="BX793" s="78"/>
      <c r="BY793" s="78"/>
      <c r="BZ793" s="78"/>
      <c r="CA793" s="78"/>
      <c r="CB793" s="78"/>
      <c r="CC793" s="78"/>
      <c r="CD793" s="78"/>
    </row>
    <row r="794">
      <c r="A794" s="10"/>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78"/>
      <c r="AS794" s="78"/>
      <c r="AT794" s="78"/>
      <c r="AU794" s="78"/>
      <c r="AV794" s="78"/>
      <c r="AW794" s="78"/>
      <c r="AX794" s="78"/>
      <c r="AY794" s="78"/>
      <c r="AZ794" s="78"/>
      <c r="BA794" s="78"/>
      <c r="BB794" s="78"/>
      <c r="BC794" s="78"/>
      <c r="BD794" s="78"/>
      <c r="BE794" s="78"/>
      <c r="BF794" s="78"/>
      <c r="BG794" s="78"/>
      <c r="BH794" s="78"/>
      <c r="BI794" s="78"/>
      <c r="BJ794" s="78"/>
      <c r="BK794" s="78"/>
      <c r="BL794" s="78"/>
      <c r="BM794" s="78"/>
      <c r="BN794" s="78"/>
      <c r="BO794" s="78"/>
      <c r="BP794" s="78"/>
      <c r="BQ794" s="78"/>
      <c r="BR794" s="78"/>
      <c r="BS794" s="78"/>
      <c r="BT794" s="78"/>
      <c r="BU794" s="10"/>
      <c r="BV794" s="78"/>
      <c r="BW794" s="78"/>
      <c r="BX794" s="78"/>
      <c r="BY794" s="78"/>
      <c r="BZ794" s="78"/>
      <c r="CA794" s="78"/>
      <c r="CB794" s="78"/>
      <c r="CC794" s="78"/>
      <c r="CD794" s="78"/>
    </row>
    <row r="795">
      <c r="A795" s="10"/>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78"/>
      <c r="AS795" s="78"/>
      <c r="AT795" s="78"/>
      <c r="AU795" s="78"/>
      <c r="AV795" s="78"/>
      <c r="AW795" s="78"/>
      <c r="AX795" s="78"/>
      <c r="AY795" s="78"/>
      <c r="AZ795" s="78"/>
      <c r="BA795" s="78"/>
      <c r="BB795" s="78"/>
      <c r="BC795" s="78"/>
      <c r="BD795" s="78"/>
      <c r="BE795" s="78"/>
      <c r="BF795" s="78"/>
      <c r="BG795" s="78"/>
      <c r="BH795" s="78"/>
      <c r="BI795" s="78"/>
      <c r="BJ795" s="78"/>
      <c r="BK795" s="78"/>
      <c r="BL795" s="78"/>
      <c r="BM795" s="78"/>
      <c r="BN795" s="78"/>
      <c r="BO795" s="78"/>
      <c r="BP795" s="78"/>
      <c r="BQ795" s="78"/>
      <c r="BR795" s="78"/>
      <c r="BS795" s="78"/>
      <c r="BT795" s="78"/>
      <c r="BU795" s="10"/>
      <c r="BV795" s="78"/>
      <c r="BW795" s="78"/>
      <c r="BX795" s="78"/>
      <c r="BY795" s="78"/>
      <c r="BZ795" s="78"/>
      <c r="CA795" s="78"/>
      <c r="CB795" s="78"/>
      <c r="CC795" s="78"/>
      <c r="CD795" s="78"/>
    </row>
    <row r="796">
      <c r="A796" s="10"/>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78"/>
      <c r="AS796" s="78"/>
      <c r="AT796" s="78"/>
      <c r="AU796" s="78"/>
      <c r="AV796" s="78"/>
      <c r="AW796" s="78"/>
      <c r="AX796" s="78"/>
      <c r="AY796" s="78"/>
      <c r="AZ796" s="78"/>
      <c r="BA796" s="78"/>
      <c r="BB796" s="78"/>
      <c r="BC796" s="78"/>
      <c r="BD796" s="78"/>
      <c r="BE796" s="78"/>
      <c r="BF796" s="78"/>
      <c r="BG796" s="78"/>
      <c r="BH796" s="78"/>
      <c r="BI796" s="78"/>
      <c r="BJ796" s="78"/>
      <c r="BK796" s="78"/>
      <c r="BL796" s="78"/>
      <c r="BM796" s="78"/>
      <c r="BN796" s="78"/>
      <c r="BO796" s="78"/>
      <c r="BP796" s="78"/>
      <c r="BQ796" s="78"/>
      <c r="BR796" s="78"/>
      <c r="BS796" s="78"/>
      <c r="BT796" s="78"/>
      <c r="BU796" s="10"/>
      <c r="BV796" s="78"/>
      <c r="BW796" s="78"/>
      <c r="BX796" s="78"/>
      <c r="BY796" s="78"/>
      <c r="BZ796" s="78"/>
      <c r="CA796" s="78"/>
      <c r="CB796" s="78"/>
      <c r="CC796" s="78"/>
      <c r="CD796" s="78"/>
    </row>
    <row r="797">
      <c r="A797" s="10"/>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78"/>
      <c r="AS797" s="78"/>
      <c r="AT797" s="78"/>
      <c r="AU797" s="78"/>
      <c r="AV797" s="78"/>
      <c r="AW797" s="78"/>
      <c r="AX797" s="78"/>
      <c r="AY797" s="78"/>
      <c r="AZ797" s="78"/>
      <c r="BA797" s="78"/>
      <c r="BB797" s="78"/>
      <c r="BC797" s="78"/>
      <c r="BD797" s="78"/>
      <c r="BE797" s="78"/>
      <c r="BF797" s="78"/>
      <c r="BG797" s="78"/>
      <c r="BH797" s="78"/>
      <c r="BI797" s="78"/>
      <c r="BJ797" s="78"/>
      <c r="BK797" s="78"/>
      <c r="BL797" s="78"/>
      <c r="BM797" s="78"/>
      <c r="BN797" s="78"/>
      <c r="BO797" s="78"/>
      <c r="BP797" s="78"/>
      <c r="BQ797" s="78"/>
      <c r="BR797" s="78"/>
      <c r="BS797" s="78"/>
      <c r="BT797" s="78"/>
      <c r="BU797" s="10"/>
      <c r="BV797" s="78"/>
      <c r="BW797" s="78"/>
      <c r="BX797" s="78"/>
      <c r="BY797" s="78"/>
      <c r="BZ797" s="78"/>
      <c r="CA797" s="78"/>
      <c r="CB797" s="78"/>
      <c r="CC797" s="78"/>
      <c r="CD797" s="78"/>
    </row>
    <row r="798">
      <c r="A798" s="10"/>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78"/>
      <c r="AS798" s="78"/>
      <c r="AT798" s="78"/>
      <c r="AU798" s="78"/>
      <c r="AV798" s="78"/>
      <c r="AW798" s="78"/>
      <c r="AX798" s="78"/>
      <c r="AY798" s="78"/>
      <c r="AZ798" s="78"/>
      <c r="BA798" s="78"/>
      <c r="BB798" s="78"/>
      <c r="BC798" s="78"/>
      <c r="BD798" s="78"/>
      <c r="BE798" s="78"/>
      <c r="BF798" s="78"/>
      <c r="BG798" s="78"/>
      <c r="BH798" s="78"/>
      <c r="BI798" s="78"/>
      <c r="BJ798" s="78"/>
      <c r="BK798" s="78"/>
      <c r="BL798" s="78"/>
      <c r="BM798" s="78"/>
      <c r="BN798" s="78"/>
      <c r="BO798" s="78"/>
      <c r="BP798" s="78"/>
      <c r="BQ798" s="78"/>
      <c r="BR798" s="78"/>
      <c r="BS798" s="78"/>
      <c r="BT798" s="78"/>
      <c r="BU798" s="10"/>
      <c r="BV798" s="78"/>
      <c r="BW798" s="78"/>
      <c r="BX798" s="78"/>
      <c r="BY798" s="78"/>
      <c r="BZ798" s="78"/>
      <c r="CA798" s="78"/>
      <c r="CB798" s="78"/>
      <c r="CC798" s="78"/>
      <c r="CD798" s="78"/>
    </row>
    <row r="799">
      <c r="A799" s="10"/>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78"/>
      <c r="AS799" s="78"/>
      <c r="AT799" s="78"/>
      <c r="AU799" s="78"/>
      <c r="AV799" s="78"/>
      <c r="AW799" s="78"/>
      <c r="AX799" s="78"/>
      <c r="AY799" s="78"/>
      <c r="AZ799" s="78"/>
      <c r="BA799" s="78"/>
      <c r="BB799" s="78"/>
      <c r="BC799" s="78"/>
      <c r="BD799" s="78"/>
      <c r="BE799" s="78"/>
      <c r="BF799" s="78"/>
      <c r="BG799" s="78"/>
      <c r="BH799" s="78"/>
      <c r="BI799" s="78"/>
      <c r="BJ799" s="78"/>
      <c r="BK799" s="78"/>
      <c r="BL799" s="78"/>
      <c r="BM799" s="78"/>
      <c r="BN799" s="78"/>
      <c r="BO799" s="78"/>
      <c r="BP799" s="78"/>
      <c r="BQ799" s="78"/>
      <c r="BR799" s="78"/>
      <c r="BS799" s="78"/>
      <c r="BT799" s="78"/>
      <c r="BU799" s="10"/>
      <c r="BV799" s="78"/>
      <c r="BW799" s="78"/>
      <c r="BX799" s="78"/>
      <c r="BY799" s="78"/>
      <c r="BZ799" s="78"/>
      <c r="CA799" s="78"/>
      <c r="CB799" s="78"/>
      <c r="CC799" s="78"/>
      <c r="CD799" s="78"/>
    </row>
    <row r="800">
      <c r="A800" s="10"/>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78"/>
      <c r="AS800" s="78"/>
      <c r="AT800" s="78"/>
      <c r="AU800" s="78"/>
      <c r="AV800" s="78"/>
      <c r="AW800" s="78"/>
      <c r="AX800" s="78"/>
      <c r="AY800" s="78"/>
      <c r="AZ800" s="78"/>
      <c r="BA800" s="78"/>
      <c r="BB800" s="78"/>
      <c r="BC800" s="78"/>
      <c r="BD800" s="78"/>
      <c r="BE800" s="78"/>
      <c r="BF800" s="78"/>
      <c r="BG800" s="78"/>
      <c r="BH800" s="78"/>
      <c r="BI800" s="78"/>
      <c r="BJ800" s="78"/>
      <c r="BK800" s="78"/>
      <c r="BL800" s="78"/>
      <c r="BM800" s="78"/>
      <c r="BN800" s="78"/>
      <c r="BO800" s="78"/>
      <c r="BP800" s="78"/>
      <c r="BQ800" s="78"/>
      <c r="BR800" s="78"/>
      <c r="BS800" s="78"/>
      <c r="BT800" s="78"/>
      <c r="BU800" s="10"/>
      <c r="BV800" s="78"/>
      <c r="BW800" s="78"/>
      <c r="BX800" s="78"/>
      <c r="BY800" s="78"/>
      <c r="BZ800" s="78"/>
      <c r="CA800" s="78"/>
      <c r="CB800" s="78"/>
      <c r="CC800" s="78"/>
      <c r="CD800" s="78"/>
    </row>
    <row r="801">
      <c r="A801" s="10"/>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78"/>
      <c r="AY801" s="78"/>
      <c r="AZ801" s="78"/>
      <c r="BA801" s="78"/>
      <c r="BB801" s="78"/>
      <c r="BC801" s="78"/>
      <c r="BD801" s="78"/>
      <c r="BE801" s="78"/>
      <c r="BF801" s="78"/>
      <c r="BG801" s="78"/>
      <c r="BH801" s="78"/>
      <c r="BI801" s="78"/>
      <c r="BJ801" s="78"/>
      <c r="BK801" s="78"/>
      <c r="BL801" s="78"/>
      <c r="BM801" s="78"/>
      <c r="BN801" s="78"/>
      <c r="BO801" s="78"/>
      <c r="BP801" s="78"/>
      <c r="BQ801" s="78"/>
      <c r="BR801" s="78"/>
      <c r="BS801" s="78"/>
      <c r="BT801" s="78"/>
      <c r="BU801" s="10"/>
      <c r="BV801" s="78"/>
      <c r="BW801" s="78"/>
      <c r="BX801" s="78"/>
      <c r="BY801" s="78"/>
      <c r="BZ801" s="78"/>
      <c r="CA801" s="78"/>
      <c r="CB801" s="78"/>
      <c r="CC801" s="78"/>
      <c r="CD801" s="78"/>
    </row>
    <row r="802">
      <c r="A802" s="10"/>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78"/>
      <c r="AS802" s="78"/>
      <c r="AT802" s="78"/>
      <c r="AU802" s="78"/>
      <c r="AV802" s="78"/>
      <c r="AW802" s="78"/>
      <c r="AX802" s="78"/>
      <c r="AY802" s="78"/>
      <c r="AZ802" s="78"/>
      <c r="BA802" s="78"/>
      <c r="BB802" s="78"/>
      <c r="BC802" s="78"/>
      <c r="BD802" s="78"/>
      <c r="BE802" s="78"/>
      <c r="BF802" s="78"/>
      <c r="BG802" s="78"/>
      <c r="BH802" s="78"/>
      <c r="BI802" s="78"/>
      <c r="BJ802" s="78"/>
      <c r="BK802" s="78"/>
      <c r="BL802" s="78"/>
      <c r="BM802" s="78"/>
      <c r="BN802" s="78"/>
      <c r="BO802" s="78"/>
      <c r="BP802" s="78"/>
      <c r="BQ802" s="78"/>
      <c r="BR802" s="78"/>
      <c r="BS802" s="78"/>
      <c r="BT802" s="78"/>
      <c r="BU802" s="10"/>
      <c r="BV802" s="78"/>
      <c r="BW802" s="78"/>
      <c r="BX802" s="78"/>
      <c r="BY802" s="78"/>
      <c r="BZ802" s="78"/>
      <c r="CA802" s="78"/>
      <c r="CB802" s="78"/>
      <c r="CC802" s="78"/>
      <c r="CD802" s="78"/>
    </row>
    <row r="803">
      <c r="A803" s="10"/>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78"/>
      <c r="AY803" s="78"/>
      <c r="AZ803" s="78"/>
      <c r="BA803" s="78"/>
      <c r="BB803" s="78"/>
      <c r="BC803" s="78"/>
      <c r="BD803" s="78"/>
      <c r="BE803" s="78"/>
      <c r="BF803" s="78"/>
      <c r="BG803" s="78"/>
      <c r="BH803" s="78"/>
      <c r="BI803" s="78"/>
      <c r="BJ803" s="78"/>
      <c r="BK803" s="78"/>
      <c r="BL803" s="78"/>
      <c r="BM803" s="78"/>
      <c r="BN803" s="78"/>
      <c r="BO803" s="78"/>
      <c r="BP803" s="78"/>
      <c r="BQ803" s="78"/>
      <c r="BR803" s="78"/>
      <c r="BS803" s="78"/>
      <c r="BT803" s="78"/>
      <c r="BU803" s="10"/>
      <c r="BV803" s="78"/>
      <c r="BW803" s="78"/>
      <c r="BX803" s="78"/>
      <c r="BY803" s="78"/>
      <c r="BZ803" s="78"/>
      <c r="CA803" s="78"/>
      <c r="CB803" s="78"/>
      <c r="CC803" s="78"/>
      <c r="CD803" s="78"/>
    </row>
    <row r="804">
      <c r="A804" s="10"/>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78"/>
      <c r="AS804" s="78"/>
      <c r="AT804" s="78"/>
      <c r="AU804" s="78"/>
      <c r="AV804" s="78"/>
      <c r="AW804" s="78"/>
      <c r="AX804" s="78"/>
      <c r="AY804" s="78"/>
      <c r="AZ804" s="78"/>
      <c r="BA804" s="78"/>
      <c r="BB804" s="78"/>
      <c r="BC804" s="78"/>
      <c r="BD804" s="78"/>
      <c r="BE804" s="78"/>
      <c r="BF804" s="78"/>
      <c r="BG804" s="78"/>
      <c r="BH804" s="78"/>
      <c r="BI804" s="78"/>
      <c r="BJ804" s="78"/>
      <c r="BK804" s="78"/>
      <c r="BL804" s="78"/>
      <c r="BM804" s="78"/>
      <c r="BN804" s="78"/>
      <c r="BO804" s="78"/>
      <c r="BP804" s="78"/>
      <c r="BQ804" s="78"/>
      <c r="BR804" s="78"/>
      <c r="BS804" s="78"/>
      <c r="BT804" s="78"/>
      <c r="BU804" s="10"/>
      <c r="BV804" s="78"/>
      <c r="BW804" s="78"/>
      <c r="BX804" s="78"/>
      <c r="BY804" s="78"/>
      <c r="BZ804" s="78"/>
      <c r="CA804" s="78"/>
      <c r="CB804" s="78"/>
      <c r="CC804" s="78"/>
      <c r="CD804" s="78"/>
    </row>
    <row r="805">
      <c r="A805" s="10"/>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78"/>
      <c r="AS805" s="78"/>
      <c r="AT805" s="78"/>
      <c r="AU805" s="78"/>
      <c r="AV805" s="78"/>
      <c r="AW805" s="78"/>
      <c r="AX805" s="78"/>
      <c r="AY805" s="78"/>
      <c r="AZ805" s="78"/>
      <c r="BA805" s="78"/>
      <c r="BB805" s="78"/>
      <c r="BC805" s="78"/>
      <c r="BD805" s="78"/>
      <c r="BE805" s="78"/>
      <c r="BF805" s="78"/>
      <c r="BG805" s="78"/>
      <c r="BH805" s="78"/>
      <c r="BI805" s="78"/>
      <c r="BJ805" s="78"/>
      <c r="BK805" s="78"/>
      <c r="BL805" s="78"/>
      <c r="BM805" s="78"/>
      <c r="BN805" s="78"/>
      <c r="BO805" s="78"/>
      <c r="BP805" s="78"/>
      <c r="BQ805" s="78"/>
      <c r="BR805" s="78"/>
      <c r="BS805" s="78"/>
      <c r="BT805" s="78"/>
      <c r="BU805" s="10"/>
      <c r="BV805" s="78"/>
      <c r="BW805" s="78"/>
      <c r="BX805" s="78"/>
      <c r="BY805" s="78"/>
      <c r="BZ805" s="78"/>
      <c r="CA805" s="78"/>
      <c r="CB805" s="78"/>
      <c r="CC805" s="78"/>
      <c r="CD805" s="78"/>
    </row>
    <row r="806">
      <c r="A806" s="10"/>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78"/>
      <c r="AS806" s="78"/>
      <c r="AT806" s="78"/>
      <c r="AU806" s="78"/>
      <c r="AV806" s="78"/>
      <c r="AW806" s="78"/>
      <c r="AX806" s="78"/>
      <c r="AY806" s="78"/>
      <c r="AZ806" s="78"/>
      <c r="BA806" s="78"/>
      <c r="BB806" s="78"/>
      <c r="BC806" s="78"/>
      <c r="BD806" s="78"/>
      <c r="BE806" s="78"/>
      <c r="BF806" s="78"/>
      <c r="BG806" s="78"/>
      <c r="BH806" s="78"/>
      <c r="BI806" s="78"/>
      <c r="BJ806" s="78"/>
      <c r="BK806" s="78"/>
      <c r="BL806" s="78"/>
      <c r="BM806" s="78"/>
      <c r="BN806" s="78"/>
      <c r="BO806" s="78"/>
      <c r="BP806" s="78"/>
      <c r="BQ806" s="78"/>
      <c r="BR806" s="78"/>
      <c r="BS806" s="78"/>
      <c r="BT806" s="78"/>
      <c r="BU806" s="10"/>
      <c r="BV806" s="78"/>
      <c r="BW806" s="78"/>
      <c r="BX806" s="78"/>
      <c r="BY806" s="78"/>
      <c r="BZ806" s="78"/>
      <c r="CA806" s="78"/>
      <c r="CB806" s="78"/>
      <c r="CC806" s="78"/>
      <c r="CD806" s="78"/>
    </row>
    <row r="807">
      <c r="A807" s="10"/>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78"/>
      <c r="AS807" s="78"/>
      <c r="AT807" s="78"/>
      <c r="AU807" s="78"/>
      <c r="AV807" s="78"/>
      <c r="AW807" s="78"/>
      <c r="AX807" s="78"/>
      <c r="AY807" s="78"/>
      <c r="AZ807" s="78"/>
      <c r="BA807" s="78"/>
      <c r="BB807" s="78"/>
      <c r="BC807" s="78"/>
      <c r="BD807" s="78"/>
      <c r="BE807" s="78"/>
      <c r="BF807" s="78"/>
      <c r="BG807" s="78"/>
      <c r="BH807" s="78"/>
      <c r="BI807" s="78"/>
      <c r="BJ807" s="78"/>
      <c r="BK807" s="78"/>
      <c r="BL807" s="78"/>
      <c r="BM807" s="78"/>
      <c r="BN807" s="78"/>
      <c r="BO807" s="78"/>
      <c r="BP807" s="78"/>
      <c r="BQ807" s="78"/>
      <c r="BR807" s="78"/>
      <c r="BS807" s="78"/>
      <c r="BT807" s="78"/>
      <c r="BU807" s="10"/>
      <c r="BV807" s="78"/>
      <c r="BW807" s="78"/>
      <c r="BX807" s="78"/>
      <c r="BY807" s="78"/>
      <c r="BZ807" s="78"/>
      <c r="CA807" s="78"/>
      <c r="CB807" s="78"/>
      <c r="CC807" s="78"/>
      <c r="CD807" s="78"/>
    </row>
    <row r="808">
      <c r="A808" s="10"/>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78"/>
      <c r="AS808" s="78"/>
      <c r="AT808" s="78"/>
      <c r="AU808" s="78"/>
      <c r="AV808" s="78"/>
      <c r="AW808" s="78"/>
      <c r="AX808" s="78"/>
      <c r="AY808" s="78"/>
      <c r="AZ808" s="78"/>
      <c r="BA808" s="78"/>
      <c r="BB808" s="78"/>
      <c r="BC808" s="78"/>
      <c r="BD808" s="78"/>
      <c r="BE808" s="78"/>
      <c r="BF808" s="78"/>
      <c r="BG808" s="78"/>
      <c r="BH808" s="78"/>
      <c r="BI808" s="78"/>
      <c r="BJ808" s="78"/>
      <c r="BK808" s="78"/>
      <c r="BL808" s="78"/>
      <c r="BM808" s="78"/>
      <c r="BN808" s="78"/>
      <c r="BO808" s="78"/>
      <c r="BP808" s="78"/>
      <c r="BQ808" s="78"/>
      <c r="BR808" s="78"/>
      <c r="BS808" s="78"/>
      <c r="BT808" s="78"/>
      <c r="BU808" s="10"/>
      <c r="BV808" s="78"/>
      <c r="BW808" s="78"/>
      <c r="BX808" s="78"/>
      <c r="BY808" s="78"/>
      <c r="BZ808" s="78"/>
      <c r="CA808" s="78"/>
      <c r="CB808" s="78"/>
      <c r="CC808" s="78"/>
      <c r="CD808" s="78"/>
    </row>
    <row r="809">
      <c r="A809" s="10"/>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78"/>
      <c r="AS809" s="78"/>
      <c r="AT809" s="78"/>
      <c r="AU809" s="78"/>
      <c r="AV809" s="78"/>
      <c r="AW809" s="78"/>
      <c r="AX809" s="78"/>
      <c r="AY809" s="78"/>
      <c r="AZ809" s="78"/>
      <c r="BA809" s="78"/>
      <c r="BB809" s="78"/>
      <c r="BC809" s="78"/>
      <c r="BD809" s="78"/>
      <c r="BE809" s="78"/>
      <c r="BF809" s="78"/>
      <c r="BG809" s="78"/>
      <c r="BH809" s="78"/>
      <c r="BI809" s="78"/>
      <c r="BJ809" s="78"/>
      <c r="BK809" s="78"/>
      <c r="BL809" s="78"/>
      <c r="BM809" s="78"/>
      <c r="BN809" s="78"/>
      <c r="BO809" s="78"/>
      <c r="BP809" s="78"/>
      <c r="BQ809" s="78"/>
      <c r="BR809" s="78"/>
      <c r="BS809" s="78"/>
      <c r="BT809" s="78"/>
      <c r="BU809" s="10"/>
      <c r="BV809" s="78"/>
      <c r="BW809" s="78"/>
      <c r="BX809" s="78"/>
      <c r="BY809" s="78"/>
      <c r="BZ809" s="78"/>
      <c r="CA809" s="78"/>
      <c r="CB809" s="78"/>
      <c r="CC809" s="78"/>
      <c r="CD809" s="78"/>
    </row>
    <row r="810">
      <c r="A810" s="10"/>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78"/>
      <c r="AS810" s="78"/>
      <c r="AT810" s="78"/>
      <c r="AU810" s="78"/>
      <c r="AV810" s="78"/>
      <c r="AW810" s="78"/>
      <c r="AX810" s="78"/>
      <c r="AY810" s="78"/>
      <c r="AZ810" s="78"/>
      <c r="BA810" s="78"/>
      <c r="BB810" s="78"/>
      <c r="BC810" s="78"/>
      <c r="BD810" s="78"/>
      <c r="BE810" s="78"/>
      <c r="BF810" s="78"/>
      <c r="BG810" s="78"/>
      <c r="BH810" s="78"/>
      <c r="BI810" s="78"/>
      <c r="BJ810" s="78"/>
      <c r="BK810" s="78"/>
      <c r="BL810" s="78"/>
      <c r="BM810" s="78"/>
      <c r="BN810" s="78"/>
      <c r="BO810" s="78"/>
      <c r="BP810" s="78"/>
      <c r="BQ810" s="78"/>
      <c r="BR810" s="78"/>
      <c r="BS810" s="78"/>
      <c r="BT810" s="78"/>
      <c r="BU810" s="10"/>
      <c r="BV810" s="78"/>
      <c r="BW810" s="78"/>
      <c r="BX810" s="78"/>
      <c r="BY810" s="78"/>
      <c r="BZ810" s="78"/>
      <c r="CA810" s="78"/>
      <c r="CB810" s="78"/>
      <c r="CC810" s="78"/>
      <c r="CD810" s="78"/>
    </row>
    <row r="811">
      <c r="A811" s="10"/>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78"/>
      <c r="AS811" s="78"/>
      <c r="AT811" s="78"/>
      <c r="AU811" s="78"/>
      <c r="AV811" s="78"/>
      <c r="AW811" s="78"/>
      <c r="AX811" s="78"/>
      <c r="AY811" s="78"/>
      <c r="AZ811" s="78"/>
      <c r="BA811" s="78"/>
      <c r="BB811" s="78"/>
      <c r="BC811" s="78"/>
      <c r="BD811" s="78"/>
      <c r="BE811" s="78"/>
      <c r="BF811" s="78"/>
      <c r="BG811" s="78"/>
      <c r="BH811" s="78"/>
      <c r="BI811" s="78"/>
      <c r="BJ811" s="78"/>
      <c r="BK811" s="78"/>
      <c r="BL811" s="78"/>
      <c r="BM811" s="78"/>
      <c r="BN811" s="78"/>
      <c r="BO811" s="78"/>
      <c r="BP811" s="78"/>
      <c r="BQ811" s="78"/>
      <c r="BR811" s="78"/>
      <c r="BS811" s="78"/>
      <c r="BT811" s="78"/>
      <c r="BU811" s="10"/>
      <c r="BV811" s="78"/>
      <c r="BW811" s="78"/>
      <c r="BX811" s="78"/>
      <c r="BY811" s="78"/>
      <c r="BZ811" s="78"/>
      <c r="CA811" s="78"/>
      <c r="CB811" s="78"/>
      <c r="CC811" s="78"/>
      <c r="CD811" s="78"/>
    </row>
    <row r="812">
      <c r="A812" s="10"/>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78"/>
      <c r="AS812" s="78"/>
      <c r="AT812" s="78"/>
      <c r="AU812" s="78"/>
      <c r="AV812" s="78"/>
      <c r="AW812" s="78"/>
      <c r="AX812" s="78"/>
      <c r="AY812" s="78"/>
      <c r="AZ812" s="78"/>
      <c r="BA812" s="78"/>
      <c r="BB812" s="78"/>
      <c r="BC812" s="78"/>
      <c r="BD812" s="78"/>
      <c r="BE812" s="78"/>
      <c r="BF812" s="78"/>
      <c r="BG812" s="78"/>
      <c r="BH812" s="78"/>
      <c r="BI812" s="78"/>
      <c r="BJ812" s="78"/>
      <c r="BK812" s="78"/>
      <c r="BL812" s="78"/>
      <c r="BM812" s="78"/>
      <c r="BN812" s="78"/>
      <c r="BO812" s="78"/>
      <c r="BP812" s="78"/>
      <c r="BQ812" s="78"/>
      <c r="BR812" s="78"/>
      <c r="BS812" s="78"/>
      <c r="BT812" s="78"/>
      <c r="BU812" s="10"/>
      <c r="BV812" s="78"/>
      <c r="BW812" s="78"/>
      <c r="BX812" s="78"/>
      <c r="BY812" s="78"/>
      <c r="BZ812" s="78"/>
      <c r="CA812" s="78"/>
      <c r="CB812" s="78"/>
      <c r="CC812" s="78"/>
      <c r="CD812" s="78"/>
    </row>
    <row r="813">
      <c r="A813" s="10"/>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78"/>
      <c r="AS813" s="78"/>
      <c r="AT813" s="78"/>
      <c r="AU813" s="78"/>
      <c r="AV813" s="78"/>
      <c r="AW813" s="78"/>
      <c r="AX813" s="78"/>
      <c r="AY813" s="78"/>
      <c r="AZ813" s="78"/>
      <c r="BA813" s="78"/>
      <c r="BB813" s="78"/>
      <c r="BC813" s="78"/>
      <c r="BD813" s="78"/>
      <c r="BE813" s="78"/>
      <c r="BF813" s="78"/>
      <c r="BG813" s="78"/>
      <c r="BH813" s="78"/>
      <c r="BI813" s="78"/>
      <c r="BJ813" s="78"/>
      <c r="BK813" s="78"/>
      <c r="BL813" s="78"/>
      <c r="BM813" s="78"/>
      <c r="BN813" s="78"/>
      <c r="BO813" s="78"/>
      <c r="BP813" s="78"/>
      <c r="BQ813" s="78"/>
      <c r="BR813" s="78"/>
      <c r="BS813" s="78"/>
      <c r="BT813" s="78"/>
      <c r="BU813" s="10"/>
      <c r="BV813" s="78"/>
      <c r="BW813" s="78"/>
      <c r="BX813" s="78"/>
      <c r="BY813" s="78"/>
      <c r="BZ813" s="78"/>
      <c r="CA813" s="78"/>
      <c r="CB813" s="78"/>
      <c r="CC813" s="78"/>
      <c r="CD813" s="78"/>
    </row>
    <row r="814">
      <c r="A814" s="10"/>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78"/>
      <c r="AY814" s="78"/>
      <c r="AZ814" s="78"/>
      <c r="BA814" s="78"/>
      <c r="BB814" s="78"/>
      <c r="BC814" s="78"/>
      <c r="BD814" s="78"/>
      <c r="BE814" s="78"/>
      <c r="BF814" s="78"/>
      <c r="BG814" s="78"/>
      <c r="BH814" s="78"/>
      <c r="BI814" s="78"/>
      <c r="BJ814" s="78"/>
      <c r="BK814" s="78"/>
      <c r="BL814" s="78"/>
      <c r="BM814" s="78"/>
      <c r="BN814" s="78"/>
      <c r="BO814" s="78"/>
      <c r="BP814" s="78"/>
      <c r="BQ814" s="78"/>
      <c r="BR814" s="78"/>
      <c r="BS814" s="78"/>
      <c r="BT814" s="78"/>
      <c r="BU814" s="10"/>
      <c r="BV814" s="78"/>
      <c r="BW814" s="78"/>
      <c r="BX814" s="78"/>
      <c r="BY814" s="78"/>
      <c r="BZ814" s="78"/>
      <c r="CA814" s="78"/>
      <c r="CB814" s="78"/>
      <c r="CC814" s="78"/>
      <c r="CD814" s="78"/>
    </row>
    <row r="815">
      <c r="A815" s="10"/>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78"/>
      <c r="AS815" s="78"/>
      <c r="AT815" s="78"/>
      <c r="AU815" s="78"/>
      <c r="AV815" s="78"/>
      <c r="AW815" s="78"/>
      <c r="AX815" s="78"/>
      <c r="AY815" s="78"/>
      <c r="AZ815" s="78"/>
      <c r="BA815" s="78"/>
      <c r="BB815" s="78"/>
      <c r="BC815" s="78"/>
      <c r="BD815" s="78"/>
      <c r="BE815" s="78"/>
      <c r="BF815" s="78"/>
      <c r="BG815" s="78"/>
      <c r="BH815" s="78"/>
      <c r="BI815" s="78"/>
      <c r="BJ815" s="78"/>
      <c r="BK815" s="78"/>
      <c r="BL815" s="78"/>
      <c r="BM815" s="78"/>
      <c r="BN815" s="78"/>
      <c r="BO815" s="78"/>
      <c r="BP815" s="78"/>
      <c r="BQ815" s="78"/>
      <c r="BR815" s="78"/>
      <c r="BS815" s="78"/>
      <c r="BT815" s="78"/>
      <c r="BU815" s="10"/>
      <c r="BV815" s="78"/>
      <c r="BW815" s="78"/>
      <c r="BX815" s="78"/>
      <c r="BY815" s="78"/>
      <c r="BZ815" s="78"/>
      <c r="CA815" s="78"/>
      <c r="CB815" s="78"/>
      <c r="CC815" s="78"/>
      <c r="CD815" s="78"/>
    </row>
    <row r="816">
      <c r="A816" s="10"/>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78"/>
      <c r="AS816" s="78"/>
      <c r="AT816" s="78"/>
      <c r="AU816" s="78"/>
      <c r="AV816" s="78"/>
      <c r="AW816" s="78"/>
      <c r="AX816" s="78"/>
      <c r="AY816" s="78"/>
      <c r="AZ816" s="78"/>
      <c r="BA816" s="78"/>
      <c r="BB816" s="78"/>
      <c r="BC816" s="78"/>
      <c r="BD816" s="78"/>
      <c r="BE816" s="78"/>
      <c r="BF816" s="78"/>
      <c r="BG816" s="78"/>
      <c r="BH816" s="78"/>
      <c r="BI816" s="78"/>
      <c r="BJ816" s="78"/>
      <c r="BK816" s="78"/>
      <c r="BL816" s="78"/>
      <c r="BM816" s="78"/>
      <c r="BN816" s="78"/>
      <c r="BO816" s="78"/>
      <c r="BP816" s="78"/>
      <c r="BQ816" s="78"/>
      <c r="BR816" s="78"/>
      <c r="BS816" s="78"/>
      <c r="BT816" s="78"/>
      <c r="BU816" s="10"/>
      <c r="BV816" s="78"/>
      <c r="BW816" s="78"/>
      <c r="BX816" s="78"/>
      <c r="BY816" s="78"/>
      <c r="BZ816" s="78"/>
      <c r="CA816" s="78"/>
      <c r="CB816" s="78"/>
      <c r="CC816" s="78"/>
      <c r="CD816" s="78"/>
    </row>
    <row r="817">
      <c r="A817" s="10"/>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78"/>
      <c r="AS817" s="78"/>
      <c r="AT817" s="78"/>
      <c r="AU817" s="78"/>
      <c r="AV817" s="78"/>
      <c r="AW817" s="78"/>
      <c r="AX817" s="78"/>
      <c r="AY817" s="78"/>
      <c r="AZ817" s="78"/>
      <c r="BA817" s="78"/>
      <c r="BB817" s="78"/>
      <c r="BC817" s="78"/>
      <c r="BD817" s="78"/>
      <c r="BE817" s="78"/>
      <c r="BF817" s="78"/>
      <c r="BG817" s="78"/>
      <c r="BH817" s="78"/>
      <c r="BI817" s="78"/>
      <c r="BJ817" s="78"/>
      <c r="BK817" s="78"/>
      <c r="BL817" s="78"/>
      <c r="BM817" s="78"/>
      <c r="BN817" s="78"/>
      <c r="BO817" s="78"/>
      <c r="BP817" s="78"/>
      <c r="BQ817" s="78"/>
      <c r="BR817" s="78"/>
      <c r="BS817" s="78"/>
      <c r="BT817" s="78"/>
      <c r="BU817" s="10"/>
      <c r="BV817" s="78"/>
      <c r="BW817" s="78"/>
      <c r="BX817" s="78"/>
      <c r="BY817" s="78"/>
      <c r="BZ817" s="78"/>
      <c r="CA817" s="78"/>
      <c r="CB817" s="78"/>
      <c r="CC817" s="78"/>
      <c r="CD817" s="78"/>
    </row>
    <row r="818">
      <c r="A818" s="10"/>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78"/>
      <c r="AS818" s="78"/>
      <c r="AT818" s="78"/>
      <c r="AU818" s="78"/>
      <c r="AV818" s="78"/>
      <c r="AW818" s="78"/>
      <c r="AX818" s="78"/>
      <c r="AY818" s="78"/>
      <c r="AZ818" s="78"/>
      <c r="BA818" s="78"/>
      <c r="BB818" s="78"/>
      <c r="BC818" s="78"/>
      <c r="BD818" s="78"/>
      <c r="BE818" s="78"/>
      <c r="BF818" s="78"/>
      <c r="BG818" s="78"/>
      <c r="BH818" s="78"/>
      <c r="BI818" s="78"/>
      <c r="BJ818" s="78"/>
      <c r="BK818" s="78"/>
      <c r="BL818" s="78"/>
      <c r="BM818" s="78"/>
      <c r="BN818" s="78"/>
      <c r="BO818" s="78"/>
      <c r="BP818" s="78"/>
      <c r="BQ818" s="78"/>
      <c r="BR818" s="78"/>
      <c r="BS818" s="78"/>
      <c r="BT818" s="78"/>
      <c r="BU818" s="10"/>
      <c r="BV818" s="78"/>
      <c r="BW818" s="78"/>
      <c r="BX818" s="78"/>
      <c r="BY818" s="78"/>
      <c r="BZ818" s="78"/>
      <c r="CA818" s="78"/>
      <c r="CB818" s="78"/>
      <c r="CC818" s="78"/>
      <c r="CD818" s="78"/>
    </row>
    <row r="819">
      <c r="A819" s="10"/>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78"/>
      <c r="AS819" s="78"/>
      <c r="AT819" s="78"/>
      <c r="AU819" s="78"/>
      <c r="AV819" s="78"/>
      <c r="AW819" s="78"/>
      <c r="AX819" s="78"/>
      <c r="AY819" s="78"/>
      <c r="AZ819" s="78"/>
      <c r="BA819" s="78"/>
      <c r="BB819" s="78"/>
      <c r="BC819" s="78"/>
      <c r="BD819" s="78"/>
      <c r="BE819" s="78"/>
      <c r="BF819" s="78"/>
      <c r="BG819" s="78"/>
      <c r="BH819" s="78"/>
      <c r="BI819" s="78"/>
      <c r="BJ819" s="78"/>
      <c r="BK819" s="78"/>
      <c r="BL819" s="78"/>
      <c r="BM819" s="78"/>
      <c r="BN819" s="78"/>
      <c r="BO819" s="78"/>
      <c r="BP819" s="78"/>
      <c r="BQ819" s="78"/>
      <c r="BR819" s="78"/>
      <c r="BS819" s="78"/>
      <c r="BT819" s="78"/>
      <c r="BU819" s="10"/>
      <c r="BV819" s="78"/>
      <c r="BW819" s="78"/>
      <c r="BX819" s="78"/>
      <c r="BY819" s="78"/>
      <c r="BZ819" s="78"/>
      <c r="CA819" s="78"/>
      <c r="CB819" s="78"/>
      <c r="CC819" s="78"/>
      <c r="CD819" s="78"/>
    </row>
    <row r="820">
      <c r="A820" s="10"/>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78"/>
      <c r="AS820" s="78"/>
      <c r="AT820" s="78"/>
      <c r="AU820" s="78"/>
      <c r="AV820" s="78"/>
      <c r="AW820" s="78"/>
      <c r="AX820" s="78"/>
      <c r="AY820" s="78"/>
      <c r="AZ820" s="78"/>
      <c r="BA820" s="78"/>
      <c r="BB820" s="78"/>
      <c r="BC820" s="78"/>
      <c r="BD820" s="78"/>
      <c r="BE820" s="78"/>
      <c r="BF820" s="78"/>
      <c r="BG820" s="78"/>
      <c r="BH820" s="78"/>
      <c r="BI820" s="78"/>
      <c r="BJ820" s="78"/>
      <c r="BK820" s="78"/>
      <c r="BL820" s="78"/>
      <c r="BM820" s="78"/>
      <c r="BN820" s="78"/>
      <c r="BO820" s="78"/>
      <c r="BP820" s="78"/>
      <c r="BQ820" s="78"/>
      <c r="BR820" s="78"/>
      <c r="BS820" s="78"/>
      <c r="BT820" s="78"/>
      <c r="BU820" s="10"/>
      <c r="BV820" s="78"/>
      <c r="BW820" s="78"/>
      <c r="BX820" s="78"/>
      <c r="BY820" s="78"/>
      <c r="BZ820" s="78"/>
      <c r="CA820" s="78"/>
      <c r="CB820" s="78"/>
      <c r="CC820" s="78"/>
      <c r="CD820" s="78"/>
    </row>
    <row r="821">
      <c r="A821" s="10"/>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78"/>
      <c r="AS821" s="78"/>
      <c r="AT821" s="78"/>
      <c r="AU821" s="78"/>
      <c r="AV821" s="78"/>
      <c r="AW821" s="78"/>
      <c r="AX821" s="78"/>
      <c r="AY821" s="78"/>
      <c r="AZ821" s="78"/>
      <c r="BA821" s="78"/>
      <c r="BB821" s="78"/>
      <c r="BC821" s="78"/>
      <c r="BD821" s="78"/>
      <c r="BE821" s="78"/>
      <c r="BF821" s="78"/>
      <c r="BG821" s="78"/>
      <c r="BH821" s="78"/>
      <c r="BI821" s="78"/>
      <c r="BJ821" s="78"/>
      <c r="BK821" s="78"/>
      <c r="BL821" s="78"/>
      <c r="BM821" s="78"/>
      <c r="BN821" s="78"/>
      <c r="BO821" s="78"/>
      <c r="BP821" s="78"/>
      <c r="BQ821" s="78"/>
      <c r="BR821" s="78"/>
      <c r="BS821" s="78"/>
      <c r="BT821" s="78"/>
      <c r="BU821" s="10"/>
      <c r="BV821" s="78"/>
      <c r="BW821" s="78"/>
      <c r="BX821" s="78"/>
      <c r="BY821" s="78"/>
      <c r="BZ821" s="78"/>
      <c r="CA821" s="78"/>
      <c r="CB821" s="78"/>
      <c r="CC821" s="78"/>
      <c r="CD821" s="78"/>
    </row>
    <row r="822">
      <c r="A822" s="10"/>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78"/>
      <c r="AS822" s="78"/>
      <c r="AT822" s="78"/>
      <c r="AU822" s="78"/>
      <c r="AV822" s="78"/>
      <c r="AW822" s="78"/>
      <c r="AX822" s="78"/>
      <c r="AY822" s="78"/>
      <c r="AZ822" s="78"/>
      <c r="BA822" s="78"/>
      <c r="BB822" s="78"/>
      <c r="BC822" s="78"/>
      <c r="BD822" s="78"/>
      <c r="BE822" s="78"/>
      <c r="BF822" s="78"/>
      <c r="BG822" s="78"/>
      <c r="BH822" s="78"/>
      <c r="BI822" s="78"/>
      <c r="BJ822" s="78"/>
      <c r="BK822" s="78"/>
      <c r="BL822" s="78"/>
      <c r="BM822" s="78"/>
      <c r="BN822" s="78"/>
      <c r="BO822" s="78"/>
      <c r="BP822" s="78"/>
      <c r="BQ822" s="78"/>
      <c r="BR822" s="78"/>
      <c r="BS822" s="78"/>
      <c r="BT822" s="78"/>
      <c r="BU822" s="10"/>
      <c r="BV822" s="78"/>
      <c r="BW822" s="78"/>
      <c r="BX822" s="78"/>
      <c r="BY822" s="78"/>
      <c r="BZ822" s="78"/>
      <c r="CA822" s="78"/>
      <c r="CB822" s="78"/>
      <c r="CC822" s="78"/>
      <c r="CD822" s="78"/>
    </row>
    <row r="823">
      <c r="A823" s="10"/>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78"/>
      <c r="AS823" s="78"/>
      <c r="AT823" s="78"/>
      <c r="AU823" s="78"/>
      <c r="AV823" s="78"/>
      <c r="AW823" s="78"/>
      <c r="AX823" s="78"/>
      <c r="AY823" s="78"/>
      <c r="AZ823" s="78"/>
      <c r="BA823" s="78"/>
      <c r="BB823" s="78"/>
      <c r="BC823" s="78"/>
      <c r="BD823" s="78"/>
      <c r="BE823" s="78"/>
      <c r="BF823" s="78"/>
      <c r="BG823" s="78"/>
      <c r="BH823" s="78"/>
      <c r="BI823" s="78"/>
      <c r="BJ823" s="78"/>
      <c r="BK823" s="78"/>
      <c r="BL823" s="78"/>
      <c r="BM823" s="78"/>
      <c r="BN823" s="78"/>
      <c r="BO823" s="78"/>
      <c r="BP823" s="78"/>
      <c r="BQ823" s="78"/>
      <c r="BR823" s="78"/>
      <c r="BS823" s="78"/>
      <c r="BT823" s="78"/>
      <c r="BU823" s="10"/>
      <c r="BV823" s="78"/>
      <c r="BW823" s="78"/>
      <c r="BX823" s="78"/>
      <c r="BY823" s="78"/>
      <c r="BZ823" s="78"/>
      <c r="CA823" s="78"/>
      <c r="CB823" s="78"/>
      <c r="CC823" s="78"/>
      <c r="CD823" s="78"/>
    </row>
    <row r="824">
      <c r="A824" s="10"/>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78"/>
      <c r="AS824" s="78"/>
      <c r="AT824" s="78"/>
      <c r="AU824" s="78"/>
      <c r="AV824" s="78"/>
      <c r="AW824" s="78"/>
      <c r="AX824" s="78"/>
      <c r="AY824" s="78"/>
      <c r="AZ824" s="78"/>
      <c r="BA824" s="78"/>
      <c r="BB824" s="78"/>
      <c r="BC824" s="78"/>
      <c r="BD824" s="78"/>
      <c r="BE824" s="78"/>
      <c r="BF824" s="78"/>
      <c r="BG824" s="78"/>
      <c r="BH824" s="78"/>
      <c r="BI824" s="78"/>
      <c r="BJ824" s="78"/>
      <c r="BK824" s="78"/>
      <c r="BL824" s="78"/>
      <c r="BM824" s="78"/>
      <c r="BN824" s="78"/>
      <c r="BO824" s="78"/>
      <c r="BP824" s="78"/>
      <c r="BQ824" s="78"/>
      <c r="BR824" s="78"/>
      <c r="BS824" s="78"/>
      <c r="BT824" s="78"/>
      <c r="BU824" s="10"/>
      <c r="BV824" s="78"/>
      <c r="BW824" s="78"/>
      <c r="BX824" s="78"/>
      <c r="BY824" s="78"/>
      <c r="BZ824" s="78"/>
      <c r="CA824" s="78"/>
      <c r="CB824" s="78"/>
      <c r="CC824" s="78"/>
      <c r="CD824" s="78"/>
    </row>
    <row r="825">
      <c r="A825" s="10"/>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78"/>
      <c r="AS825" s="78"/>
      <c r="AT825" s="78"/>
      <c r="AU825" s="78"/>
      <c r="AV825" s="78"/>
      <c r="AW825" s="78"/>
      <c r="AX825" s="78"/>
      <c r="AY825" s="78"/>
      <c r="AZ825" s="78"/>
      <c r="BA825" s="78"/>
      <c r="BB825" s="78"/>
      <c r="BC825" s="78"/>
      <c r="BD825" s="78"/>
      <c r="BE825" s="78"/>
      <c r="BF825" s="78"/>
      <c r="BG825" s="78"/>
      <c r="BH825" s="78"/>
      <c r="BI825" s="78"/>
      <c r="BJ825" s="78"/>
      <c r="BK825" s="78"/>
      <c r="BL825" s="78"/>
      <c r="BM825" s="78"/>
      <c r="BN825" s="78"/>
      <c r="BO825" s="78"/>
      <c r="BP825" s="78"/>
      <c r="BQ825" s="78"/>
      <c r="BR825" s="78"/>
      <c r="BS825" s="78"/>
      <c r="BT825" s="78"/>
      <c r="BU825" s="10"/>
      <c r="BV825" s="78"/>
      <c r="BW825" s="78"/>
      <c r="BX825" s="78"/>
      <c r="BY825" s="78"/>
      <c r="BZ825" s="78"/>
      <c r="CA825" s="78"/>
      <c r="CB825" s="78"/>
      <c r="CC825" s="78"/>
      <c r="CD825" s="78"/>
    </row>
    <row r="826">
      <c r="A826" s="10"/>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78"/>
      <c r="AS826" s="78"/>
      <c r="AT826" s="78"/>
      <c r="AU826" s="78"/>
      <c r="AV826" s="78"/>
      <c r="AW826" s="78"/>
      <c r="AX826" s="78"/>
      <c r="AY826" s="78"/>
      <c r="AZ826" s="78"/>
      <c r="BA826" s="78"/>
      <c r="BB826" s="78"/>
      <c r="BC826" s="78"/>
      <c r="BD826" s="78"/>
      <c r="BE826" s="78"/>
      <c r="BF826" s="78"/>
      <c r="BG826" s="78"/>
      <c r="BH826" s="78"/>
      <c r="BI826" s="78"/>
      <c r="BJ826" s="78"/>
      <c r="BK826" s="78"/>
      <c r="BL826" s="78"/>
      <c r="BM826" s="78"/>
      <c r="BN826" s="78"/>
      <c r="BO826" s="78"/>
      <c r="BP826" s="78"/>
      <c r="BQ826" s="78"/>
      <c r="BR826" s="78"/>
      <c r="BS826" s="78"/>
      <c r="BT826" s="78"/>
      <c r="BU826" s="10"/>
      <c r="BV826" s="78"/>
      <c r="BW826" s="78"/>
      <c r="BX826" s="78"/>
      <c r="BY826" s="78"/>
      <c r="BZ826" s="78"/>
      <c r="CA826" s="78"/>
      <c r="CB826" s="78"/>
      <c r="CC826" s="78"/>
      <c r="CD826" s="78"/>
    </row>
    <row r="827">
      <c r="A827" s="10"/>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78"/>
      <c r="AS827" s="78"/>
      <c r="AT827" s="78"/>
      <c r="AU827" s="78"/>
      <c r="AV827" s="78"/>
      <c r="AW827" s="78"/>
      <c r="AX827" s="78"/>
      <c r="AY827" s="78"/>
      <c r="AZ827" s="78"/>
      <c r="BA827" s="78"/>
      <c r="BB827" s="78"/>
      <c r="BC827" s="78"/>
      <c r="BD827" s="78"/>
      <c r="BE827" s="78"/>
      <c r="BF827" s="78"/>
      <c r="BG827" s="78"/>
      <c r="BH827" s="78"/>
      <c r="BI827" s="78"/>
      <c r="BJ827" s="78"/>
      <c r="BK827" s="78"/>
      <c r="BL827" s="78"/>
      <c r="BM827" s="78"/>
      <c r="BN827" s="78"/>
      <c r="BO827" s="78"/>
      <c r="BP827" s="78"/>
      <c r="BQ827" s="78"/>
      <c r="BR827" s="78"/>
      <c r="BS827" s="78"/>
      <c r="BT827" s="78"/>
      <c r="BU827" s="10"/>
      <c r="BV827" s="78"/>
      <c r="BW827" s="78"/>
      <c r="BX827" s="78"/>
      <c r="BY827" s="78"/>
      <c r="BZ827" s="78"/>
      <c r="CA827" s="78"/>
      <c r="CB827" s="78"/>
      <c r="CC827" s="78"/>
      <c r="CD827" s="78"/>
    </row>
    <row r="828">
      <c r="A828" s="10"/>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78"/>
      <c r="AY828" s="78"/>
      <c r="AZ828" s="78"/>
      <c r="BA828" s="78"/>
      <c r="BB828" s="78"/>
      <c r="BC828" s="78"/>
      <c r="BD828" s="78"/>
      <c r="BE828" s="78"/>
      <c r="BF828" s="78"/>
      <c r="BG828" s="78"/>
      <c r="BH828" s="78"/>
      <c r="BI828" s="78"/>
      <c r="BJ828" s="78"/>
      <c r="BK828" s="78"/>
      <c r="BL828" s="78"/>
      <c r="BM828" s="78"/>
      <c r="BN828" s="78"/>
      <c r="BO828" s="78"/>
      <c r="BP828" s="78"/>
      <c r="BQ828" s="78"/>
      <c r="BR828" s="78"/>
      <c r="BS828" s="78"/>
      <c r="BT828" s="78"/>
      <c r="BU828" s="10"/>
      <c r="BV828" s="78"/>
      <c r="BW828" s="78"/>
      <c r="BX828" s="78"/>
      <c r="BY828" s="78"/>
      <c r="BZ828" s="78"/>
      <c r="CA828" s="78"/>
      <c r="CB828" s="78"/>
      <c r="CC828" s="78"/>
      <c r="CD828" s="78"/>
    </row>
    <row r="829">
      <c r="A829" s="10"/>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78"/>
      <c r="AS829" s="78"/>
      <c r="AT829" s="78"/>
      <c r="AU829" s="78"/>
      <c r="AV829" s="78"/>
      <c r="AW829" s="78"/>
      <c r="AX829" s="78"/>
      <c r="AY829" s="78"/>
      <c r="AZ829" s="78"/>
      <c r="BA829" s="78"/>
      <c r="BB829" s="78"/>
      <c r="BC829" s="78"/>
      <c r="BD829" s="78"/>
      <c r="BE829" s="78"/>
      <c r="BF829" s="78"/>
      <c r="BG829" s="78"/>
      <c r="BH829" s="78"/>
      <c r="BI829" s="78"/>
      <c r="BJ829" s="78"/>
      <c r="BK829" s="78"/>
      <c r="BL829" s="78"/>
      <c r="BM829" s="78"/>
      <c r="BN829" s="78"/>
      <c r="BO829" s="78"/>
      <c r="BP829" s="78"/>
      <c r="BQ829" s="78"/>
      <c r="BR829" s="78"/>
      <c r="BS829" s="78"/>
      <c r="BT829" s="78"/>
      <c r="BU829" s="10"/>
      <c r="BV829" s="78"/>
      <c r="BW829" s="78"/>
      <c r="BX829" s="78"/>
      <c r="BY829" s="78"/>
      <c r="BZ829" s="78"/>
      <c r="CA829" s="78"/>
      <c r="CB829" s="78"/>
      <c r="CC829" s="78"/>
      <c r="CD829" s="78"/>
    </row>
    <row r="830">
      <c r="A830" s="10"/>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78"/>
      <c r="AY830" s="78"/>
      <c r="AZ830" s="78"/>
      <c r="BA830" s="78"/>
      <c r="BB830" s="78"/>
      <c r="BC830" s="78"/>
      <c r="BD830" s="78"/>
      <c r="BE830" s="78"/>
      <c r="BF830" s="78"/>
      <c r="BG830" s="78"/>
      <c r="BH830" s="78"/>
      <c r="BI830" s="78"/>
      <c r="BJ830" s="78"/>
      <c r="BK830" s="78"/>
      <c r="BL830" s="78"/>
      <c r="BM830" s="78"/>
      <c r="BN830" s="78"/>
      <c r="BO830" s="78"/>
      <c r="BP830" s="78"/>
      <c r="BQ830" s="78"/>
      <c r="BR830" s="78"/>
      <c r="BS830" s="78"/>
      <c r="BT830" s="78"/>
      <c r="BU830" s="10"/>
      <c r="BV830" s="78"/>
      <c r="BW830" s="78"/>
      <c r="BX830" s="78"/>
      <c r="BY830" s="78"/>
      <c r="BZ830" s="78"/>
      <c r="CA830" s="78"/>
      <c r="CB830" s="78"/>
      <c r="CC830" s="78"/>
      <c r="CD830" s="78"/>
    </row>
    <row r="831">
      <c r="A831" s="10"/>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78"/>
      <c r="AS831" s="78"/>
      <c r="AT831" s="78"/>
      <c r="AU831" s="78"/>
      <c r="AV831" s="78"/>
      <c r="AW831" s="78"/>
      <c r="AX831" s="78"/>
      <c r="AY831" s="78"/>
      <c r="AZ831" s="78"/>
      <c r="BA831" s="78"/>
      <c r="BB831" s="78"/>
      <c r="BC831" s="78"/>
      <c r="BD831" s="78"/>
      <c r="BE831" s="78"/>
      <c r="BF831" s="78"/>
      <c r="BG831" s="78"/>
      <c r="BH831" s="78"/>
      <c r="BI831" s="78"/>
      <c r="BJ831" s="78"/>
      <c r="BK831" s="78"/>
      <c r="BL831" s="78"/>
      <c r="BM831" s="78"/>
      <c r="BN831" s="78"/>
      <c r="BO831" s="78"/>
      <c r="BP831" s="78"/>
      <c r="BQ831" s="78"/>
      <c r="BR831" s="78"/>
      <c r="BS831" s="78"/>
      <c r="BT831" s="78"/>
      <c r="BU831" s="10"/>
      <c r="BV831" s="78"/>
      <c r="BW831" s="78"/>
      <c r="BX831" s="78"/>
      <c r="BY831" s="78"/>
      <c r="BZ831" s="78"/>
      <c r="CA831" s="78"/>
      <c r="CB831" s="78"/>
      <c r="CC831" s="78"/>
      <c r="CD831" s="78"/>
    </row>
    <row r="832">
      <c r="A832" s="10"/>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78"/>
      <c r="AY832" s="78"/>
      <c r="AZ832" s="78"/>
      <c r="BA832" s="78"/>
      <c r="BB832" s="78"/>
      <c r="BC832" s="78"/>
      <c r="BD832" s="78"/>
      <c r="BE832" s="78"/>
      <c r="BF832" s="78"/>
      <c r="BG832" s="78"/>
      <c r="BH832" s="78"/>
      <c r="BI832" s="78"/>
      <c r="BJ832" s="78"/>
      <c r="BK832" s="78"/>
      <c r="BL832" s="78"/>
      <c r="BM832" s="78"/>
      <c r="BN832" s="78"/>
      <c r="BO832" s="78"/>
      <c r="BP832" s="78"/>
      <c r="BQ832" s="78"/>
      <c r="BR832" s="78"/>
      <c r="BS832" s="78"/>
      <c r="BT832" s="78"/>
      <c r="BU832" s="10"/>
      <c r="BV832" s="78"/>
      <c r="BW832" s="78"/>
      <c r="BX832" s="78"/>
      <c r="BY832" s="78"/>
      <c r="BZ832" s="78"/>
      <c r="CA832" s="78"/>
      <c r="CB832" s="78"/>
      <c r="CC832" s="78"/>
      <c r="CD832" s="78"/>
    </row>
    <row r="833">
      <c r="A833" s="10"/>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78"/>
      <c r="AY833" s="78"/>
      <c r="AZ833" s="78"/>
      <c r="BA833" s="78"/>
      <c r="BB833" s="78"/>
      <c r="BC833" s="78"/>
      <c r="BD833" s="78"/>
      <c r="BE833" s="78"/>
      <c r="BF833" s="78"/>
      <c r="BG833" s="78"/>
      <c r="BH833" s="78"/>
      <c r="BI833" s="78"/>
      <c r="BJ833" s="78"/>
      <c r="BK833" s="78"/>
      <c r="BL833" s="78"/>
      <c r="BM833" s="78"/>
      <c r="BN833" s="78"/>
      <c r="BO833" s="78"/>
      <c r="BP833" s="78"/>
      <c r="BQ833" s="78"/>
      <c r="BR833" s="78"/>
      <c r="BS833" s="78"/>
      <c r="BT833" s="78"/>
      <c r="BU833" s="10"/>
      <c r="BV833" s="78"/>
      <c r="BW833" s="78"/>
      <c r="BX833" s="78"/>
      <c r="BY833" s="78"/>
      <c r="BZ833" s="78"/>
      <c r="CA833" s="78"/>
      <c r="CB833" s="78"/>
      <c r="CC833" s="78"/>
      <c r="CD833" s="78"/>
    </row>
    <row r="834">
      <c r="A834" s="10"/>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78"/>
      <c r="AS834" s="78"/>
      <c r="AT834" s="78"/>
      <c r="AU834" s="78"/>
      <c r="AV834" s="78"/>
      <c r="AW834" s="78"/>
      <c r="AX834" s="78"/>
      <c r="AY834" s="78"/>
      <c r="AZ834" s="78"/>
      <c r="BA834" s="78"/>
      <c r="BB834" s="78"/>
      <c r="BC834" s="78"/>
      <c r="BD834" s="78"/>
      <c r="BE834" s="78"/>
      <c r="BF834" s="78"/>
      <c r="BG834" s="78"/>
      <c r="BH834" s="78"/>
      <c r="BI834" s="78"/>
      <c r="BJ834" s="78"/>
      <c r="BK834" s="78"/>
      <c r="BL834" s="78"/>
      <c r="BM834" s="78"/>
      <c r="BN834" s="78"/>
      <c r="BO834" s="78"/>
      <c r="BP834" s="78"/>
      <c r="BQ834" s="78"/>
      <c r="BR834" s="78"/>
      <c r="BS834" s="78"/>
      <c r="BT834" s="78"/>
      <c r="BU834" s="10"/>
      <c r="BV834" s="78"/>
      <c r="BW834" s="78"/>
      <c r="BX834" s="78"/>
      <c r="BY834" s="78"/>
      <c r="BZ834" s="78"/>
      <c r="CA834" s="78"/>
      <c r="CB834" s="78"/>
      <c r="CC834" s="78"/>
      <c r="CD834" s="78"/>
    </row>
    <row r="835">
      <c r="A835" s="10"/>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78"/>
      <c r="AY835" s="78"/>
      <c r="AZ835" s="78"/>
      <c r="BA835" s="78"/>
      <c r="BB835" s="78"/>
      <c r="BC835" s="78"/>
      <c r="BD835" s="78"/>
      <c r="BE835" s="78"/>
      <c r="BF835" s="78"/>
      <c r="BG835" s="78"/>
      <c r="BH835" s="78"/>
      <c r="BI835" s="78"/>
      <c r="BJ835" s="78"/>
      <c r="BK835" s="78"/>
      <c r="BL835" s="78"/>
      <c r="BM835" s="78"/>
      <c r="BN835" s="78"/>
      <c r="BO835" s="78"/>
      <c r="BP835" s="78"/>
      <c r="BQ835" s="78"/>
      <c r="BR835" s="78"/>
      <c r="BS835" s="78"/>
      <c r="BT835" s="78"/>
      <c r="BU835" s="10"/>
      <c r="BV835" s="78"/>
      <c r="BW835" s="78"/>
      <c r="BX835" s="78"/>
      <c r="BY835" s="78"/>
      <c r="BZ835" s="78"/>
      <c r="CA835" s="78"/>
      <c r="CB835" s="78"/>
      <c r="CC835" s="78"/>
      <c r="CD835" s="78"/>
    </row>
    <row r="836">
      <c r="A836" s="10"/>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78"/>
      <c r="AY836" s="78"/>
      <c r="AZ836" s="78"/>
      <c r="BA836" s="78"/>
      <c r="BB836" s="78"/>
      <c r="BC836" s="78"/>
      <c r="BD836" s="78"/>
      <c r="BE836" s="78"/>
      <c r="BF836" s="78"/>
      <c r="BG836" s="78"/>
      <c r="BH836" s="78"/>
      <c r="BI836" s="78"/>
      <c r="BJ836" s="78"/>
      <c r="BK836" s="78"/>
      <c r="BL836" s="78"/>
      <c r="BM836" s="78"/>
      <c r="BN836" s="78"/>
      <c r="BO836" s="78"/>
      <c r="BP836" s="78"/>
      <c r="BQ836" s="78"/>
      <c r="BR836" s="78"/>
      <c r="BS836" s="78"/>
      <c r="BT836" s="78"/>
      <c r="BU836" s="10"/>
      <c r="BV836" s="78"/>
      <c r="BW836" s="78"/>
      <c r="BX836" s="78"/>
      <c r="BY836" s="78"/>
      <c r="BZ836" s="78"/>
      <c r="CA836" s="78"/>
      <c r="CB836" s="78"/>
      <c r="CC836" s="78"/>
      <c r="CD836" s="78"/>
    </row>
    <row r="837">
      <c r="A837" s="10"/>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78"/>
      <c r="AY837" s="78"/>
      <c r="AZ837" s="78"/>
      <c r="BA837" s="78"/>
      <c r="BB837" s="78"/>
      <c r="BC837" s="78"/>
      <c r="BD837" s="78"/>
      <c r="BE837" s="78"/>
      <c r="BF837" s="78"/>
      <c r="BG837" s="78"/>
      <c r="BH837" s="78"/>
      <c r="BI837" s="78"/>
      <c r="BJ837" s="78"/>
      <c r="BK837" s="78"/>
      <c r="BL837" s="78"/>
      <c r="BM837" s="78"/>
      <c r="BN837" s="78"/>
      <c r="BO837" s="78"/>
      <c r="BP837" s="78"/>
      <c r="BQ837" s="78"/>
      <c r="BR837" s="78"/>
      <c r="BS837" s="78"/>
      <c r="BT837" s="78"/>
      <c r="BU837" s="10"/>
      <c r="BV837" s="78"/>
      <c r="BW837" s="78"/>
      <c r="BX837" s="78"/>
      <c r="BY837" s="78"/>
      <c r="BZ837" s="78"/>
      <c r="CA837" s="78"/>
      <c r="CB837" s="78"/>
      <c r="CC837" s="78"/>
      <c r="CD837" s="78"/>
    </row>
    <row r="838">
      <c r="A838" s="10"/>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78"/>
      <c r="AS838" s="78"/>
      <c r="AT838" s="78"/>
      <c r="AU838" s="78"/>
      <c r="AV838" s="78"/>
      <c r="AW838" s="78"/>
      <c r="AX838" s="78"/>
      <c r="AY838" s="78"/>
      <c r="AZ838" s="78"/>
      <c r="BA838" s="78"/>
      <c r="BB838" s="78"/>
      <c r="BC838" s="78"/>
      <c r="BD838" s="78"/>
      <c r="BE838" s="78"/>
      <c r="BF838" s="78"/>
      <c r="BG838" s="78"/>
      <c r="BH838" s="78"/>
      <c r="BI838" s="78"/>
      <c r="BJ838" s="78"/>
      <c r="BK838" s="78"/>
      <c r="BL838" s="78"/>
      <c r="BM838" s="78"/>
      <c r="BN838" s="78"/>
      <c r="BO838" s="78"/>
      <c r="BP838" s="78"/>
      <c r="BQ838" s="78"/>
      <c r="BR838" s="78"/>
      <c r="BS838" s="78"/>
      <c r="BT838" s="78"/>
      <c r="BU838" s="10"/>
      <c r="BV838" s="78"/>
      <c r="BW838" s="78"/>
      <c r="BX838" s="78"/>
      <c r="BY838" s="78"/>
      <c r="BZ838" s="78"/>
      <c r="CA838" s="78"/>
      <c r="CB838" s="78"/>
      <c r="CC838" s="78"/>
      <c r="CD838" s="78"/>
    </row>
    <row r="839">
      <c r="A839" s="10"/>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78"/>
      <c r="AY839" s="78"/>
      <c r="AZ839" s="78"/>
      <c r="BA839" s="78"/>
      <c r="BB839" s="78"/>
      <c r="BC839" s="78"/>
      <c r="BD839" s="78"/>
      <c r="BE839" s="78"/>
      <c r="BF839" s="78"/>
      <c r="BG839" s="78"/>
      <c r="BH839" s="78"/>
      <c r="BI839" s="78"/>
      <c r="BJ839" s="78"/>
      <c r="BK839" s="78"/>
      <c r="BL839" s="78"/>
      <c r="BM839" s="78"/>
      <c r="BN839" s="78"/>
      <c r="BO839" s="78"/>
      <c r="BP839" s="78"/>
      <c r="BQ839" s="78"/>
      <c r="BR839" s="78"/>
      <c r="BS839" s="78"/>
      <c r="BT839" s="78"/>
      <c r="BU839" s="10"/>
      <c r="BV839" s="78"/>
      <c r="BW839" s="78"/>
      <c r="BX839" s="78"/>
      <c r="BY839" s="78"/>
      <c r="BZ839" s="78"/>
      <c r="CA839" s="78"/>
      <c r="CB839" s="78"/>
      <c r="CC839" s="78"/>
      <c r="CD839" s="78"/>
    </row>
    <row r="840">
      <c r="A840" s="10"/>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78"/>
      <c r="AS840" s="78"/>
      <c r="AT840" s="78"/>
      <c r="AU840" s="78"/>
      <c r="AV840" s="78"/>
      <c r="AW840" s="78"/>
      <c r="AX840" s="78"/>
      <c r="AY840" s="78"/>
      <c r="AZ840" s="78"/>
      <c r="BA840" s="78"/>
      <c r="BB840" s="78"/>
      <c r="BC840" s="78"/>
      <c r="BD840" s="78"/>
      <c r="BE840" s="78"/>
      <c r="BF840" s="78"/>
      <c r="BG840" s="78"/>
      <c r="BH840" s="78"/>
      <c r="BI840" s="78"/>
      <c r="BJ840" s="78"/>
      <c r="BK840" s="78"/>
      <c r="BL840" s="78"/>
      <c r="BM840" s="78"/>
      <c r="BN840" s="78"/>
      <c r="BO840" s="78"/>
      <c r="BP840" s="78"/>
      <c r="BQ840" s="78"/>
      <c r="BR840" s="78"/>
      <c r="BS840" s="78"/>
      <c r="BT840" s="78"/>
      <c r="BU840" s="10"/>
      <c r="BV840" s="78"/>
      <c r="BW840" s="78"/>
      <c r="BX840" s="78"/>
      <c r="BY840" s="78"/>
      <c r="BZ840" s="78"/>
      <c r="CA840" s="78"/>
      <c r="CB840" s="78"/>
      <c r="CC840" s="78"/>
      <c r="CD840" s="78"/>
    </row>
    <row r="841">
      <c r="A841" s="10"/>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78"/>
      <c r="AS841" s="78"/>
      <c r="AT841" s="78"/>
      <c r="AU841" s="78"/>
      <c r="AV841" s="78"/>
      <c r="AW841" s="78"/>
      <c r="AX841" s="78"/>
      <c r="AY841" s="78"/>
      <c r="AZ841" s="78"/>
      <c r="BA841" s="78"/>
      <c r="BB841" s="78"/>
      <c r="BC841" s="78"/>
      <c r="BD841" s="78"/>
      <c r="BE841" s="78"/>
      <c r="BF841" s="78"/>
      <c r="BG841" s="78"/>
      <c r="BH841" s="78"/>
      <c r="BI841" s="78"/>
      <c r="BJ841" s="78"/>
      <c r="BK841" s="78"/>
      <c r="BL841" s="78"/>
      <c r="BM841" s="78"/>
      <c r="BN841" s="78"/>
      <c r="BO841" s="78"/>
      <c r="BP841" s="78"/>
      <c r="BQ841" s="78"/>
      <c r="BR841" s="78"/>
      <c r="BS841" s="78"/>
      <c r="BT841" s="78"/>
      <c r="BU841" s="10"/>
      <c r="BV841" s="78"/>
      <c r="BW841" s="78"/>
      <c r="BX841" s="78"/>
      <c r="BY841" s="78"/>
      <c r="BZ841" s="78"/>
      <c r="CA841" s="78"/>
      <c r="CB841" s="78"/>
      <c r="CC841" s="78"/>
      <c r="CD841" s="78"/>
    </row>
    <row r="842">
      <c r="A842" s="10"/>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78"/>
      <c r="AY842" s="78"/>
      <c r="AZ842" s="78"/>
      <c r="BA842" s="78"/>
      <c r="BB842" s="78"/>
      <c r="BC842" s="78"/>
      <c r="BD842" s="78"/>
      <c r="BE842" s="78"/>
      <c r="BF842" s="78"/>
      <c r="BG842" s="78"/>
      <c r="BH842" s="78"/>
      <c r="BI842" s="78"/>
      <c r="BJ842" s="78"/>
      <c r="BK842" s="78"/>
      <c r="BL842" s="78"/>
      <c r="BM842" s="78"/>
      <c r="BN842" s="78"/>
      <c r="BO842" s="78"/>
      <c r="BP842" s="78"/>
      <c r="BQ842" s="78"/>
      <c r="BR842" s="78"/>
      <c r="BS842" s="78"/>
      <c r="BT842" s="78"/>
      <c r="BU842" s="10"/>
      <c r="BV842" s="78"/>
      <c r="BW842" s="78"/>
      <c r="BX842" s="78"/>
      <c r="BY842" s="78"/>
      <c r="BZ842" s="78"/>
      <c r="CA842" s="78"/>
      <c r="CB842" s="78"/>
      <c r="CC842" s="78"/>
      <c r="CD842" s="78"/>
    </row>
    <row r="843">
      <c r="A843" s="10"/>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78"/>
      <c r="AY843" s="78"/>
      <c r="AZ843" s="78"/>
      <c r="BA843" s="78"/>
      <c r="BB843" s="78"/>
      <c r="BC843" s="78"/>
      <c r="BD843" s="78"/>
      <c r="BE843" s="78"/>
      <c r="BF843" s="78"/>
      <c r="BG843" s="78"/>
      <c r="BH843" s="78"/>
      <c r="BI843" s="78"/>
      <c r="BJ843" s="78"/>
      <c r="BK843" s="78"/>
      <c r="BL843" s="78"/>
      <c r="BM843" s="78"/>
      <c r="BN843" s="78"/>
      <c r="BO843" s="78"/>
      <c r="BP843" s="78"/>
      <c r="BQ843" s="78"/>
      <c r="BR843" s="78"/>
      <c r="BS843" s="78"/>
      <c r="BT843" s="78"/>
      <c r="BU843" s="10"/>
      <c r="BV843" s="78"/>
      <c r="BW843" s="78"/>
      <c r="BX843" s="78"/>
      <c r="BY843" s="78"/>
      <c r="BZ843" s="78"/>
      <c r="CA843" s="78"/>
      <c r="CB843" s="78"/>
      <c r="CC843" s="78"/>
      <c r="CD843" s="78"/>
    </row>
    <row r="844">
      <c r="A844" s="10"/>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78"/>
      <c r="AY844" s="78"/>
      <c r="AZ844" s="78"/>
      <c r="BA844" s="78"/>
      <c r="BB844" s="78"/>
      <c r="BC844" s="78"/>
      <c r="BD844" s="78"/>
      <c r="BE844" s="78"/>
      <c r="BF844" s="78"/>
      <c r="BG844" s="78"/>
      <c r="BH844" s="78"/>
      <c r="BI844" s="78"/>
      <c r="BJ844" s="78"/>
      <c r="BK844" s="78"/>
      <c r="BL844" s="78"/>
      <c r="BM844" s="78"/>
      <c r="BN844" s="78"/>
      <c r="BO844" s="78"/>
      <c r="BP844" s="78"/>
      <c r="BQ844" s="78"/>
      <c r="BR844" s="78"/>
      <c r="BS844" s="78"/>
      <c r="BT844" s="78"/>
      <c r="BU844" s="10"/>
      <c r="BV844" s="78"/>
      <c r="BW844" s="78"/>
      <c r="BX844" s="78"/>
      <c r="BY844" s="78"/>
      <c r="BZ844" s="78"/>
      <c r="CA844" s="78"/>
      <c r="CB844" s="78"/>
      <c r="CC844" s="78"/>
      <c r="CD844" s="78"/>
    </row>
    <row r="845">
      <c r="A845" s="10"/>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78"/>
      <c r="AY845" s="78"/>
      <c r="AZ845" s="78"/>
      <c r="BA845" s="78"/>
      <c r="BB845" s="78"/>
      <c r="BC845" s="78"/>
      <c r="BD845" s="78"/>
      <c r="BE845" s="78"/>
      <c r="BF845" s="78"/>
      <c r="BG845" s="78"/>
      <c r="BH845" s="78"/>
      <c r="BI845" s="78"/>
      <c r="BJ845" s="78"/>
      <c r="BK845" s="78"/>
      <c r="BL845" s="78"/>
      <c r="BM845" s="78"/>
      <c r="BN845" s="78"/>
      <c r="BO845" s="78"/>
      <c r="BP845" s="78"/>
      <c r="BQ845" s="78"/>
      <c r="BR845" s="78"/>
      <c r="BS845" s="78"/>
      <c r="BT845" s="78"/>
      <c r="BU845" s="10"/>
      <c r="BV845" s="78"/>
      <c r="BW845" s="78"/>
      <c r="BX845" s="78"/>
      <c r="BY845" s="78"/>
      <c r="BZ845" s="78"/>
      <c r="CA845" s="78"/>
      <c r="CB845" s="78"/>
      <c r="CC845" s="78"/>
      <c r="CD845" s="78"/>
    </row>
    <row r="846">
      <c r="A846" s="10"/>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78"/>
      <c r="AY846" s="78"/>
      <c r="AZ846" s="78"/>
      <c r="BA846" s="78"/>
      <c r="BB846" s="78"/>
      <c r="BC846" s="78"/>
      <c r="BD846" s="78"/>
      <c r="BE846" s="78"/>
      <c r="BF846" s="78"/>
      <c r="BG846" s="78"/>
      <c r="BH846" s="78"/>
      <c r="BI846" s="78"/>
      <c r="BJ846" s="78"/>
      <c r="BK846" s="78"/>
      <c r="BL846" s="78"/>
      <c r="BM846" s="78"/>
      <c r="BN846" s="78"/>
      <c r="BO846" s="78"/>
      <c r="BP846" s="78"/>
      <c r="BQ846" s="78"/>
      <c r="BR846" s="78"/>
      <c r="BS846" s="78"/>
      <c r="BT846" s="78"/>
      <c r="BU846" s="10"/>
      <c r="BV846" s="78"/>
      <c r="BW846" s="78"/>
      <c r="BX846" s="78"/>
      <c r="BY846" s="78"/>
      <c r="BZ846" s="78"/>
      <c r="CA846" s="78"/>
      <c r="CB846" s="78"/>
      <c r="CC846" s="78"/>
      <c r="CD846" s="78"/>
    </row>
    <row r="847">
      <c r="A847" s="10"/>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78"/>
      <c r="AS847" s="78"/>
      <c r="AT847" s="78"/>
      <c r="AU847" s="78"/>
      <c r="AV847" s="78"/>
      <c r="AW847" s="78"/>
      <c r="AX847" s="78"/>
      <c r="AY847" s="78"/>
      <c r="AZ847" s="78"/>
      <c r="BA847" s="78"/>
      <c r="BB847" s="78"/>
      <c r="BC847" s="78"/>
      <c r="BD847" s="78"/>
      <c r="BE847" s="78"/>
      <c r="BF847" s="78"/>
      <c r="BG847" s="78"/>
      <c r="BH847" s="78"/>
      <c r="BI847" s="78"/>
      <c r="BJ847" s="78"/>
      <c r="BK847" s="78"/>
      <c r="BL847" s="78"/>
      <c r="BM847" s="78"/>
      <c r="BN847" s="78"/>
      <c r="BO847" s="78"/>
      <c r="BP847" s="78"/>
      <c r="BQ847" s="78"/>
      <c r="BR847" s="78"/>
      <c r="BS847" s="78"/>
      <c r="BT847" s="78"/>
      <c r="BU847" s="10"/>
      <c r="BV847" s="78"/>
      <c r="BW847" s="78"/>
      <c r="BX847" s="78"/>
      <c r="BY847" s="78"/>
      <c r="BZ847" s="78"/>
      <c r="CA847" s="78"/>
      <c r="CB847" s="78"/>
      <c r="CC847" s="78"/>
      <c r="CD847" s="78"/>
    </row>
    <row r="848">
      <c r="A848" s="10"/>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78"/>
      <c r="AS848" s="78"/>
      <c r="AT848" s="78"/>
      <c r="AU848" s="78"/>
      <c r="AV848" s="78"/>
      <c r="AW848" s="78"/>
      <c r="AX848" s="78"/>
      <c r="AY848" s="78"/>
      <c r="AZ848" s="78"/>
      <c r="BA848" s="78"/>
      <c r="BB848" s="78"/>
      <c r="BC848" s="78"/>
      <c r="BD848" s="78"/>
      <c r="BE848" s="78"/>
      <c r="BF848" s="78"/>
      <c r="BG848" s="78"/>
      <c r="BH848" s="78"/>
      <c r="BI848" s="78"/>
      <c r="BJ848" s="78"/>
      <c r="BK848" s="78"/>
      <c r="BL848" s="78"/>
      <c r="BM848" s="78"/>
      <c r="BN848" s="78"/>
      <c r="BO848" s="78"/>
      <c r="BP848" s="78"/>
      <c r="BQ848" s="78"/>
      <c r="BR848" s="78"/>
      <c r="BS848" s="78"/>
      <c r="BT848" s="78"/>
      <c r="BU848" s="10"/>
      <c r="BV848" s="78"/>
      <c r="BW848" s="78"/>
      <c r="BX848" s="78"/>
      <c r="BY848" s="78"/>
      <c r="BZ848" s="78"/>
      <c r="CA848" s="78"/>
      <c r="CB848" s="78"/>
      <c r="CC848" s="78"/>
      <c r="CD848" s="78"/>
    </row>
    <row r="849">
      <c r="A849" s="10"/>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78"/>
      <c r="AY849" s="78"/>
      <c r="AZ849" s="78"/>
      <c r="BA849" s="78"/>
      <c r="BB849" s="78"/>
      <c r="BC849" s="78"/>
      <c r="BD849" s="78"/>
      <c r="BE849" s="78"/>
      <c r="BF849" s="78"/>
      <c r="BG849" s="78"/>
      <c r="BH849" s="78"/>
      <c r="BI849" s="78"/>
      <c r="BJ849" s="78"/>
      <c r="BK849" s="78"/>
      <c r="BL849" s="78"/>
      <c r="BM849" s="78"/>
      <c r="BN849" s="78"/>
      <c r="BO849" s="78"/>
      <c r="BP849" s="78"/>
      <c r="BQ849" s="78"/>
      <c r="BR849" s="78"/>
      <c r="BS849" s="78"/>
      <c r="BT849" s="78"/>
      <c r="BU849" s="10"/>
      <c r="BV849" s="78"/>
      <c r="BW849" s="78"/>
      <c r="BX849" s="78"/>
      <c r="BY849" s="78"/>
      <c r="BZ849" s="78"/>
      <c r="CA849" s="78"/>
      <c r="CB849" s="78"/>
      <c r="CC849" s="78"/>
      <c r="CD849" s="78"/>
    </row>
    <row r="850">
      <c r="A850" s="10"/>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78"/>
      <c r="AS850" s="78"/>
      <c r="AT850" s="78"/>
      <c r="AU850" s="78"/>
      <c r="AV850" s="78"/>
      <c r="AW850" s="78"/>
      <c r="AX850" s="78"/>
      <c r="AY850" s="78"/>
      <c r="AZ850" s="78"/>
      <c r="BA850" s="78"/>
      <c r="BB850" s="78"/>
      <c r="BC850" s="78"/>
      <c r="BD850" s="78"/>
      <c r="BE850" s="78"/>
      <c r="BF850" s="78"/>
      <c r="BG850" s="78"/>
      <c r="BH850" s="78"/>
      <c r="BI850" s="78"/>
      <c r="BJ850" s="78"/>
      <c r="BK850" s="78"/>
      <c r="BL850" s="78"/>
      <c r="BM850" s="78"/>
      <c r="BN850" s="78"/>
      <c r="BO850" s="78"/>
      <c r="BP850" s="78"/>
      <c r="BQ850" s="78"/>
      <c r="BR850" s="78"/>
      <c r="BS850" s="78"/>
      <c r="BT850" s="78"/>
      <c r="BU850" s="10"/>
      <c r="BV850" s="78"/>
      <c r="BW850" s="78"/>
      <c r="BX850" s="78"/>
      <c r="BY850" s="78"/>
      <c r="BZ850" s="78"/>
      <c r="CA850" s="78"/>
      <c r="CB850" s="78"/>
      <c r="CC850" s="78"/>
      <c r="CD850" s="78"/>
    </row>
    <row r="851">
      <c r="A851" s="10"/>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78"/>
      <c r="AY851" s="78"/>
      <c r="AZ851" s="78"/>
      <c r="BA851" s="78"/>
      <c r="BB851" s="78"/>
      <c r="BC851" s="78"/>
      <c r="BD851" s="78"/>
      <c r="BE851" s="78"/>
      <c r="BF851" s="78"/>
      <c r="BG851" s="78"/>
      <c r="BH851" s="78"/>
      <c r="BI851" s="78"/>
      <c r="BJ851" s="78"/>
      <c r="BK851" s="78"/>
      <c r="BL851" s="78"/>
      <c r="BM851" s="78"/>
      <c r="BN851" s="78"/>
      <c r="BO851" s="78"/>
      <c r="BP851" s="78"/>
      <c r="BQ851" s="78"/>
      <c r="BR851" s="78"/>
      <c r="BS851" s="78"/>
      <c r="BT851" s="78"/>
      <c r="BU851" s="10"/>
      <c r="BV851" s="78"/>
      <c r="BW851" s="78"/>
      <c r="BX851" s="78"/>
      <c r="BY851" s="78"/>
      <c r="BZ851" s="78"/>
      <c r="CA851" s="78"/>
      <c r="CB851" s="78"/>
      <c r="CC851" s="78"/>
      <c r="CD851" s="78"/>
    </row>
    <row r="852">
      <c r="A852" s="10"/>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78"/>
      <c r="AY852" s="78"/>
      <c r="AZ852" s="78"/>
      <c r="BA852" s="78"/>
      <c r="BB852" s="78"/>
      <c r="BC852" s="78"/>
      <c r="BD852" s="78"/>
      <c r="BE852" s="78"/>
      <c r="BF852" s="78"/>
      <c r="BG852" s="78"/>
      <c r="BH852" s="78"/>
      <c r="BI852" s="78"/>
      <c r="BJ852" s="78"/>
      <c r="BK852" s="78"/>
      <c r="BL852" s="78"/>
      <c r="BM852" s="78"/>
      <c r="BN852" s="78"/>
      <c r="BO852" s="78"/>
      <c r="BP852" s="78"/>
      <c r="BQ852" s="78"/>
      <c r="BR852" s="78"/>
      <c r="BS852" s="78"/>
      <c r="BT852" s="78"/>
      <c r="BU852" s="10"/>
      <c r="BV852" s="78"/>
      <c r="BW852" s="78"/>
      <c r="BX852" s="78"/>
      <c r="BY852" s="78"/>
      <c r="BZ852" s="78"/>
      <c r="CA852" s="78"/>
      <c r="CB852" s="78"/>
      <c r="CC852" s="78"/>
      <c r="CD852" s="78"/>
    </row>
    <row r="853">
      <c r="A853" s="10"/>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78"/>
      <c r="AY853" s="78"/>
      <c r="AZ853" s="78"/>
      <c r="BA853" s="78"/>
      <c r="BB853" s="78"/>
      <c r="BC853" s="78"/>
      <c r="BD853" s="78"/>
      <c r="BE853" s="78"/>
      <c r="BF853" s="78"/>
      <c r="BG853" s="78"/>
      <c r="BH853" s="78"/>
      <c r="BI853" s="78"/>
      <c r="BJ853" s="78"/>
      <c r="BK853" s="78"/>
      <c r="BL853" s="78"/>
      <c r="BM853" s="78"/>
      <c r="BN853" s="78"/>
      <c r="BO853" s="78"/>
      <c r="BP853" s="78"/>
      <c r="BQ853" s="78"/>
      <c r="BR853" s="78"/>
      <c r="BS853" s="78"/>
      <c r="BT853" s="78"/>
      <c r="BU853" s="10"/>
      <c r="BV853" s="78"/>
      <c r="BW853" s="78"/>
      <c r="BX853" s="78"/>
      <c r="BY853" s="78"/>
      <c r="BZ853" s="78"/>
      <c r="CA853" s="78"/>
      <c r="CB853" s="78"/>
      <c r="CC853" s="78"/>
      <c r="CD853" s="78"/>
    </row>
    <row r="854">
      <c r="A854" s="10"/>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78"/>
      <c r="AS854" s="78"/>
      <c r="AT854" s="78"/>
      <c r="AU854" s="78"/>
      <c r="AV854" s="78"/>
      <c r="AW854" s="78"/>
      <c r="AX854" s="78"/>
      <c r="AY854" s="78"/>
      <c r="AZ854" s="78"/>
      <c r="BA854" s="78"/>
      <c r="BB854" s="78"/>
      <c r="BC854" s="78"/>
      <c r="BD854" s="78"/>
      <c r="BE854" s="78"/>
      <c r="BF854" s="78"/>
      <c r="BG854" s="78"/>
      <c r="BH854" s="78"/>
      <c r="BI854" s="78"/>
      <c r="BJ854" s="78"/>
      <c r="BK854" s="78"/>
      <c r="BL854" s="78"/>
      <c r="BM854" s="78"/>
      <c r="BN854" s="78"/>
      <c r="BO854" s="78"/>
      <c r="BP854" s="78"/>
      <c r="BQ854" s="78"/>
      <c r="BR854" s="78"/>
      <c r="BS854" s="78"/>
      <c r="BT854" s="78"/>
      <c r="BU854" s="10"/>
      <c r="BV854" s="78"/>
      <c r="BW854" s="78"/>
      <c r="BX854" s="78"/>
      <c r="BY854" s="78"/>
      <c r="BZ854" s="78"/>
      <c r="CA854" s="78"/>
      <c r="CB854" s="78"/>
      <c r="CC854" s="78"/>
      <c r="CD854" s="78"/>
    </row>
    <row r="855">
      <c r="A855" s="10"/>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78"/>
      <c r="AS855" s="78"/>
      <c r="AT855" s="78"/>
      <c r="AU855" s="78"/>
      <c r="AV855" s="78"/>
      <c r="AW855" s="78"/>
      <c r="AX855" s="78"/>
      <c r="AY855" s="78"/>
      <c r="AZ855" s="78"/>
      <c r="BA855" s="78"/>
      <c r="BB855" s="78"/>
      <c r="BC855" s="78"/>
      <c r="BD855" s="78"/>
      <c r="BE855" s="78"/>
      <c r="BF855" s="78"/>
      <c r="BG855" s="78"/>
      <c r="BH855" s="78"/>
      <c r="BI855" s="78"/>
      <c r="BJ855" s="78"/>
      <c r="BK855" s="78"/>
      <c r="BL855" s="78"/>
      <c r="BM855" s="78"/>
      <c r="BN855" s="78"/>
      <c r="BO855" s="78"/>
      <c r="BP855" s="78"/>
      <c r="BQ855" s="78"/>
      <c r="BR855" s="78"/>
      <c r="BS855" s="78"/>
      <c r="BT855" s="78"/>
      <c r="BU855" s="10"/>
      <c r="BV855" s="78"/>
      <c r="BW855" s="78"/>
      <c r="BX855" s="78"/>
      <c r="BY855" s="78"/>
      <c r="BZ855" s="78"/>
      <c r="CA855" s="78"/>
      <c r="CB855" s="78"/>
      <c r="CC855" s="78"/>
      <c r="CD855" s="78"/>
    </row>
    <row r="856">
      <c r="A856" s="10"/>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78"/>
      <c r="AS856" s="78"/>
      <c r="AT856" s="78"/>
      <c r="AU856" s="78"/>
      <c r="AV856" s="78"/>
      <c r="AW856" s="78"/>
      <c r="AX856" s="78"/>
      <c r="AY856" s="78"/>
      <c r="AZ856" s="78"/>
      <c r="BA856" s="78"/>
      <c r="BB856" s="78"/>
      <c r="BC856" s="78"/>
      <c r="BD856" s="78"/>
      <c r="BE856" s="78"/>
      <c r="BF856" s="78"/>
      <c r="BG856" s="78"/>
      <c r="BH856" s="78"/>
      <c r="BI856" s="78"/>
      <c r="BJ856" s="78"/>
      <c r="BK856" s="78"/>
      <c r="BL856" s="78"/>
      <c r="BM856" s="78"/>
      <c r="BN856" s="78"/>
      <c r="BO856" s="78"/>
      <c r="BP856" s="78"/>
      <c r="BQ856" s="78"/>
      <c r="BR856" s="78"/>
      <c r="BS856" s="78"/>
      <c r="BT856" s="78"/>
      <c r="BU856" s="10"/>
      <c r="BV856" s="78"/>
      <c r="BW856" s="78"/>
      <c r="BX856" s="78"/>
      <c r="BY856" s="78"/>
      <c r="BZ856" s="78"/>
      <c r="CA856" s="78"/>
      <c r="CB856" s="78"/>
      <c r="CC856" s="78"/>
      <c r="CD856" s="78"/>
    </row>
    <row r="857">
      <c r="A857" s="10"/>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78"/>
      <c r="AS857" s="78"/>
      <c r="AT857" s="78"/>
      <c r="AU857" s="78"/>
      <c r="AV857" s="78"/>
      <c r="AW857" s="78"/>
      <c r="AX857" s="78"/>
      <c r="AY857" s="78"/>
      <c r="AZ857" s="78"/>
      <c r="BA857" s="78"/>
      <c r="BB857" s="78"/>
      <c r="BC857" s="78"/>
      <c r="BD857" s="78"/>
      <c r="BE857" s="78"/>
      <c r="BF857" s="78"/>
      <c r="BG857" s="78"/>
      <c r="BH857" s="78"/>
      <c r="BI857" s="78"/>
      <c r="BJ857" s="78"/>
      <c r="BK857" s="78"/>
      <c r="BL857" s="78"/>
      <c r="BM857" s="78"/>
      <c r="BN857" s="78"/>
      <c r="BO857" s="78"/>
      <c r="BP857" s="78"/>
      <c r="BQ857" s="78"/>
      <c r="BR857" s="78"/>
      <c r="BS857" s="78"/>
      <c r="BT857" s="78"/>
      <c r="BU857" s="10"/>
      <c r="BV857" s="78"/>
      <c r="BW857" s="78"/>
      <c r="BX857" s="78"/>
      <c r="BY857" s="78"/>
      <c r="BZ857" s="78"/>
      <c r="CA857" s="78"/>
      <c r="CB857" s="78"/>
      <c r="CC857" s="78"/>
      <c r="CD857" s="78"/>
    </row>
    <row r="858">
      <c r="A858" s="10"/>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78"/>
      <c r="AY858" s="78"/>
      <c r="AZ858" s="78"/>
      <c r="BA858" s="78"/>
      <c r="BB858" s="78"/>
      <c r="BC858" s="78"/>
      <c r="BD858" s="78"/>
      <c r="BE858" s="78"/>
      <c r="BF858" s="78"/>
      <c r="BG858" s="78"/>
      <c r="BH858" s="78"/>
      <c r="BI858" s="78"/>
      <c r="BJ858" s="78"/>
      <c r="BK858" s="78"/>
      <c r="BL858" s="78"/>
      <c r="BM858" s="78"/>
      <c r="BN858" s="78"/>
      <c r="BO858" s="78"/>
      <c r="BP858" s="78"/>
      <c r="BQ858" s="78"/>
      <c r="BR858" s="78"/>
      <c r="BS858" s="78"/>
      <c r="BT858" s="78"/>
      <c r="BU858" s="10"/>
      <c r="BV858" s="78"/>
      <c r="BW858" s="78"/>
      <c r="BX858" s="78"/>
      <c r="BY858" s="78"/>
      <c r="BZ858" s="78"/>
      <c r="CA858" s="78"/>
      <c r="CB858" s="78"/>
      <c r="CC858" s="78"/>
      <c r="CD858" s="78"/>
    </row>
    <row r="859">
      <c r="A859" s="10"/>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78"/>
      <c r="AY859" s="78"/>
      <c r="AZ859" s="78"/>
      <c r="BA859" s="78"/>
      <c r="BB859" s="78"/>
      <c r="BC859" s="78"/>
      <c r="BD859" s="78"/>
      <c r="BE859" s="78"/>
      <c r="BF859" s="78"/>
      <c r="BG859" s="78"/>
      <c r="BH859" s="78"/>
      <c r="BI859" s="78"/>
      <c r="BJ859" s="78"/>
      <c r="BK859" s="78"/>
      <c r="BL859" s="78"/>
      <c r="BM859" s="78"/>
      <c r="BN859" s="78"/>
      <c r="BO859" s="78"/>
      <c r="BP859" s="78"/>
      <c r="BQ859" s="78"/>
      <c r="BR859" s="78"/>
      <c r="BS859" s="78"/>
      <c r="BT859" s="78"/>
      <c r="BU859" s="10"/>
      <c r="BV859" s="78"/>
      <c r="BW859" s="78"/>
      <c r="BX859" s="78"/>
      <c r="BY859" s="78"/>
      <c r="BZ859" s="78"/>
      <c r="CA859" s="78"/>
      <c r="CB859" s="78"/>
      <c r="CC859" s="78"/>
      <c r="CD859" s="78"/>
    </row>
    <row r="860">
      <c r="A860" s="10"/>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78"/>
      <c r="AY860" s="78"/>
      <c r="AZ860" s="78"/>
      <c r="BA860" s="78"/>
      <c r="BB860" s="78"/>
      <c r="BC860" s="78"/>
      <c r="BD860" s="78"/>
      <c r="BE860" s="78"/>
      <c r="BF860" s="78"/>
      <c r="BG860" s="78"/>
      <c r="BH860" s="78"/>
      <c r="BI860" s="78"/>
      <c r="BJ860" s="78"/>
      <c r="BK860" s="78"/>
      <c r="BL860" s="78"/>
      <c r="BM860" s="78"/>
      <c r="BN860" s="78"/>
      <c r="BO860" s="78"/>
      <c r="BP860" s="78"/>
      <c r="BQ860" s="78"/>
      <c r="BR860" s="78"/>
      <c r="BS860" s="78"/>
      <c r="BT860" s="78"/>
      <c r="BU860" s="10"/>
      <c r="BV860" s="78"/>
      <c r="BW860" s="78"/>
      <c r="BX860" s="78"/>
      <c r="BY860" s="78"/>
      <c r="BZ860" s="78"/>
      <c r="CA860" s="78"/>
      <c r="CB860" s="78"/>
      <c r="CC860" s="78"/>
      <c r="CD860" s="78"/>
    </row>
    <row r="861">
      <c r="A861" s="10"/>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78"/>
      <c r="AY861" s="78"/>
      <c r="AZ861" s="78"/>
      <c r="BA861" s="78"/>
      <c r="BB861" s="78"/>
      <c r="BC861" s="78"/>
      <c r="BD861" s="78"/>
      <c r="BE861" s="78"/>
      <c r="BF861" s="78"/>
      <c r="BG861" s="78"/>
      <c r="BH861" s="78"/>
      <c r="BI861" s="78"/>
      <c r="BJ861" s="78"/>
      <c r="BK861" s="78"/>
      <c r="BL861" s="78"/>
      <c r="BM861" s="78"/>
      <c r="BN861" s="78"/>
      <c r="BO861" s="78"/>
      <c r="BP861" s="78"/>
      <c r="BQ861" s="78"/>
      <c r="BR861" s="78"/>
      <c r="BS861" s="78"/>
      <c r="BT861" s="78"/>
      <c r="BU861" s="10"/>
      <c r="BV861" s="78"/>
      <c r="BW861" s="78"/>
      <c r="BX861" s="78"/>
      <c r="BY861" s="78"/>
      <c r="BZ861" s="78"/>
      <c r="CA861" s="78"/>
      <c r="CB861" s="78"/>
      <c r="CC861" s="78"/>
      <c r="CD861" s="78"/>
    </row>
    <row r="862">
      <c r="A862" s="10"/>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78"/>
      <c r="AS862" s="78"/>
      <c r="AT862" s="78"/>
      <c r="AU862" s="78"/>
      <c r="AV862" s="78"/>
      <c r="AW862" s="78"/>
      <c r="AX862" s="78"/>
      <c r="AY862" s="78"/>
      <c r="AZ862" s="78"/>
      <c r="BA862" s="78"/>
      <c r="BB862" s="78"/>
      <c r="BC862" s="78"/>
      <c r="BD862" s="78"/>
      <c r="BE862" s="78"/>
      <c r="BF862" s="78"/>
      <c r="BG862" s="78"/>
      <c r="BH862" s="78"/>
      <c r="BI862" s="78"/>
      <c r="BJ862" s="78"/>
      <c r="BK862" s="78"/>
      <c r="BL862" s="78"/>
      <c r="BM862" s="78"/>
      <c r="BN862" s="78"/>
      <c r="BO862" s="78"/>
      <c r="BP862" s="78"/>
      <c r="BQ862" s="78"/>
      <c r="BR862" s="78"/>
      <c r="BS862" s="78"/>
      <c r="BT862" s="78"/>
      <c r="BU862" s="10"/>
      <c r="BV862" s="78"/>
      <c r="BW862" s="78"/>
      <c r="BX862" s="78"/>
      <c r="BY862" s="78"/>
      <c r="BZ862" s="78"/>
      <c r="CA862" s="78"/>
      <c r="CB862" s="78"/>
      <c r="CC862" s="78"/>
      <c r="CD862" s="78"/>
    </row>
    <row r="863">
      <c r="A863" s="10"/>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78"/>
      <c r="AY863" s="78"/>
      <c r="AZ863" s="78"/>
      <c r="BA863" s="78"/>
      <c r="BB863" s="78"/>
      <c r="BC863" s="78"/>
      <c r="BD863" s="78"/>
      <c r="BE863" s="78"/>
      <c r="BF863" s="78"/>
      <c r="BG863" s="78"/>
      <c r="BH863" s="78"/>
      <c r="BI863" s="78"/>
      <c r="BJ863" s="78"/>
      <c r="BK863" s="78"/>
      <c r="BL863" s="78"/>
      <c r="BM863" s="78"/>
      <c r="BN863" s="78"/>
      <c r="BO863" s="78"/>
      <c r="BP863" s="78"/>
      <c r="BQ863" s="78"/>
      <c r="BR863" s="78"/>
      <c r="BS863" s="78"/>
      <c r="BT863" s="78"/>
      <c r="BU863" s="10"/>
      <c r="BV863" s="78"/>
      <c r="BW863" s="78"/>
      <c r="BX863" s="78"/>
      <c r="BY863" s="78"/>
      <c r="BZ863" s="78"/>
      <c r="CA863" s="78"/>
      <c r="CB863" s="78"/>
      <c r="CC863" s="78"/>
      <c r="CD863" s="78"/>
    </row>
    <row r="864">
      <c r="A864" s="10"/>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78"/>
      <c r="AY864" s="78"/>
      <c r="AZ864" s="78"/>
      <c r="BA864" s="78"/>
      <c r="BB864" s="78"/>
      <c r="BC864" s="78"/>
      <c r="BD864" s="78"/>
      <c r="BE864" s="78"/>
      <c r="BF864" s="78"/>
      <c r="BG864" s="78"/>
      <c r="BH864" s="78"/>
      <c r="BI864" s="78"/>
      <c r="BJ864" s="78"/>
      <c r="BK864" s="78"/>
      <c r="BL864" s="78"/>
      <c r="BM864" s="78"/>
      <c r="BN864" s="78"/>
      <c r="BO864" s="78"/>
      <c r="BP864" s="78"/>
      <c r="BQ864" s="78"/>
      <c r="BR864" s="78"/>
      <c r="BS864" s="78"/>
      <c r="BT864" s="78"/>
      <c r="BU864" s="10"/>
      <c r="BV864" s="78"/>
      <c r="BW864" s="78"/>
      <c r="BX864" s="78"/>
      <c r="BY864" s="78"/>
      <c r="BZ864" s="78"/>
      <c r="CA864" s="78"/>
      <c r="CB864" s="78"/>
      <c r="CC864" s="78"/>
      <c r="CD864" s="78"/>
    </row>
    <row r="865">
      <c r="A865" s="10"/>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78"/>
      <c r="AY865" s="78"/>
      <c r="AZ865" s="78"/>
      <c r="BA865" s="78"/>
      <c r="BB865" s="78"/>
      <c r="BC865" s="78"/>
      <c r="BD865" s="78"/>
      <c r="BE865" s="78"/>
      <c r="BF865" s="78"/>
      <c r="BG865" s="78"/>
      <c r="BH865" s="78"/>
      <c r="BI865" s="78"/>
      <c r="BJ865" s="78"/>
      <c r="BK865" s="78"/>
      <c r="BL865" s="78"/>
      <c r="BM865" s="78"/>
      <c r="BN865" s="78"/>
      <c r="BO865" s="78"/>
      <c r="BP865" s="78"/>
      <c r="BQ865" s="78"/>
      <c r="BR865" s="78"/>
      <c r="BS865" s="78"/>
      <c r="BT865" s="78"/>
      <c r="BU865" s="10"/>
      <c r="BV865" s="78"/>
      <c r="BW865" s="78"/>
      <c r="BX865" s="78"/>
      <c r="BY865" s="78"/>
      <c r="BZ865" s="78"/>
      <c r="CA865" s="78"/>
      <c r="CB865" s="78"/>
      <c r="CC865" s="78"/>
      <c r="CD865" s="78"/>
    </row>
    <row r="866">
      <c r="A866" s="10"/>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78"/>
      <c r="AY866" s="78"/>
      <c r="AZ866" s="78"/>
      <c r="BA866" s="78"/>
      <c r="BB866" s="78"/>
      <c r="BC866" s="78"/>
      <c r="BD866" s="78"/>
      <c r="BE866" s="78"/>
      <c r="BF866" s="78"/>
      <c r="BG866" s="78"/>
      <c r="BH866" s="78"/>
      <c r="BI866" s="78"/>
      <c r="BJ866" s="78"/>
      <c r="BK866" s="78"/>
      <c r="BL866" s="78"/>
      <c r="BM866" s="78"/>
      <c r="BN866" s="78"/>
      <c r="BO866" s="78"/>
      <c r="BP866" s="78"/>
      <c r="BQ866" s="78"/>
      <c r="BR866" s="78"/>
      <c r="BS866" s="78"/>
      <c r="BT866" s="78"/>
      <c r="BU866" s="10"/>
      <c r="BV866" s="78"/>
      <c r="BW866" s="78"/>
      <c r="BX866" s="78"/>
      <c r="BY866" s="78"/>
      <c r="BZ866" s="78"/>
      <c r="CA866" s="78"/>
      <c r="CB866" s="78"/>
      <c r="CC866" s="78"/>
      <c r="CD866" s="78"/>
    </row>
    <row r="867">
      <c r="A867" s="10"/>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78"/>
      <c r="AY867" s="78"/>
      <c r="AZ867" s="78"/>
      <c r="BA867" s="78"/>
      <c r="BB867" s="78"/>
      <c r="BC867" s="78"/>
      <c r="BD867" s="78"/>
      <c r="BE867" s="78"/>
      <c r="BF867" s="78"/>
      <c r="BG867" s="78"/>
      <c r="BH867" s="78"/>
      <c r="BI867" s="78"/>
      <c r="BJ867" s="78"/>
      <c r="BK867" s="78"/>
      <c r="BL867" s="78"/>
      <c r="BM867" s="78"/>
      <c r="BN867" s="78"/>
      <c r="BO867" s="78"/>
      <c r="BP867" s="78"/>
      <c r="BQ867" s="78"/>
      <c r="BR867" s="78"/>
      <c r="BS867" s="78"/>
      <c r="BT867" s="78"/>
      <c r="BU867" s="10"/>
      <c r="BV867" s="78"/>
      <c r="BW867" s="78"/>
      <c r="BX867" s="78"/>
      <c r="BY867" s="78"/>
      <c r="BZ867" s="78"/>
      <c r="CA867" s="78"/>
      <c r="CB867" s="78"/>
      <c r="CC867" s="78"/>
      <c r="CD867" s="78"/>
    </row>
    <row r="868">
      <c r="A868" s="10"/>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78"/>
      <c r="AY868" s="78"/>
      <c r="AZ868" s="78"/>
      <c r="BA868" s="78"/>
      <c r="BB868" s="78"/>
      <c r="BC868" s="78"/>
      <c r="BD868" s="78"/>
      <c r="BE868" s="78"/>
      <c r="BF868" s="78"/>
      <c r="BG868" s="78"/>
      <c r="BH868" s="78"/>
      <c r="BI868" s="78"/>
      <c r="BJ868" s="78"/>
      <c r="BK868" s="78"/>
      <c r="BL868" s="78"/>
      <c r="BM868" s="78"/>
      <c r="BN868" s="78"/>
      <c r="BO868" s="78"/>
      <c r="BP868" s="78"/>
      <c r="BQ868" s="78"/>
      <c r="BR868" s="78"/>
      <c r="BS868" s="78"/>
      <c r="BT868" s="78"/>
      <c r="BU868" s="10"/>
      <c r="BV868" s="78"/>
      <c r="BW868" s="78"/>
      <c r="BX868" s="78"/>
      <c r="BY868" s="78"/>
      <c r="BZ868" s="78"/>
      <c r="CA868" s="78"/>
      <c r="CB868" s="78"/>
      <c r="CC868" s="78"/>
      <c r="CD868" s="78"/>
    </row>
    <row r="869">
      <c r="A869" s="10"/>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78"/>
      <c r="AS869" s="78"/>
      <c r="AT869" s="78"/>
      <c r="AU869" s="78"/>
      <c r="AV869" s="78"/>
      <c r="AW869" s="78"/>
      <c r="AX869" s="78"/>
      <c r="AY869" s="78"/>
      <c r="AZ869" s="78"/>
      <c r="BA869" s="78"/>
      <c r="BB869" s="78"/>
      <c r="BC869" s="78"/>
      <c r="BD869" s="78"/>
      <c r="BE869" s="78"/>
      <c r="BF869" s="78"/>
      <c r="BG869" s="78"/>
      <c r="BH869" s="78"/>
      <c r="BI869" s="78"/>
      <c r="BJ869" s="78"/>
      <c r="BK869" s="78"/>
      <c r="BL869" s="78"/>
      <c r="BM869" s="78"/>
      <c r="BN869" s="78"/>
      <c r="BO869" s="78"/>
      <c r="BP869" s="78"/>
      <c r="BQ869" s="78"/>
      <c r="BR869" s="78"/>
      <c r="BS869" s="78"/>
      <c r="BT869" s="78"/>
      <c r="BU869" s="10"/>
      <c r="BV869" s="78"/>
      <c r="BW869" s="78"/>
      <c r="BX869" s="78"/>
      <c r="BY869" s="78"/>
      <c r="BZ869" s="78"/>
      <c r="CA869" s="78"/>
      <c r="CB869" s="78"/>
      <c r="CC869" s="78"/>
      <c r="CD869" s="78"/>
    </row>
    <row r="870">
      <c r="A870" s="10"/>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78"/>
      <c r="AY870" s="78"/>
      <c r="AZ870" s="78"/>
      <c r="BA870" s="78"/>
      <c r="BB870" s="78"/>
      <c r="BC870" s="78"/>
      <c r="BD870" s="78"/>
      <c r="BE870" s="78"/>
      <c r="BF870" s="78"/>
      <c r="BG870" s="78"/>
      <c r="BH870" s="78"/>
      <c r="BI870" s="78"/>
      <c r="BJ870" s="78"/>
      <c r="BK870" s="78"/>
      <c r="BL870" s="78"/>
      <c r="BM870" s="78"/>
      <c r="BN870" s="78"/>
      <c r="BO870" s="78"/>
      <c r="BP870" s="78"/>
      <c r="BQ870" s="78"/>
      <c r="BR870" s="78"/>
      <c r="BS870" s="78"/>
      <c r="BT870" s="78"/>
      <c r="BU870" s="10"/>
      <c r="BV870" s="78"/>
      <c r="BW870" s="78"/>
      <c r="BX870" s="78"/>
      <c r="BY870" s="78"/>
      <c r="BZ870" s="78"/>
      <c r="CA870" s="78"/>
      <c r="CB870" s="78"/>
      <c r="CC870" s="78"/>
      <c r="CD870" s="78"/>
    </row>
    <row r="871">
      <c r="A871" s="10"/>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78"/>
      <c r="AS871" s="78"/>
      <c r="AT871" s="78"/>
      <c r="AU871" s="78"/>
      <c r="AV871" s="78"/>
      <c r="AW871" s="78"/>
      <c r="AX871" s="78"/>
      <c r="AY871" s="78"/>
      <c r="AZ871" s="78"/>
      <c r="BA871" s="78"/>
      <c r="BB871" s="78"/>
      <c r="BC871" s="78"/>
      <c r="BD871" s="78"/>
      <c r="BE871" s="78"/>
      <c r="BF871" s="78"/>
      <c r="BG871" s="78"/>
      <c r="BH871" s="78"/>
      <c r="BI871" s="78"/>
      <c r="BJ871" s="78"/>
      <c r="BK871" s="78"/>
      <c r="BL871" s="78"/>
      <c r="BM871" s="78"/>
      <c r="BN871" s="78"/>
      <c r="BO871" s="78"/>
      <c r="BP871" s="78"/>
      <c r="BQ871" s="78"/>
      <c r="BR871" s="78"/>
      <c r="BS871" s="78"/>
      <c r="BT871" s="78"/>
      <c r="BU871" s="10"/>
      <c r="BV871" s="78"/>
      <c r="BW871" s="78"/>
      <c r="BX871" s="78"/>
      <c r="BY871" s="78"/>
      <c r="BZ871" s="78"/>
      <c r="CA871" s="78"/>
      <c r="CB871" s="78"/>
      <c r="CC871" s="78"/>
      <c r="CD871" s="78"/>
    </row>
    <row r="872">
      <c r="A872" s="10"/>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78"/>
      <c r="AY872" s="78"/>
      <c r="AZ872" s="78"/>
      <c r="BA872" s="78"/>
      <c r="BB872" s="78"/>
      <c r="BC872" s="78"/>
      <c r="BD872" s="78"/>
      <c r="BE872" s="78"/>
      <c r="BF872" s="78"/>
      <c r="BG872" s="78"/>
      <c r="BH872" s="78"/>
      <c r="BI872" s="78"/>
      <c r="BJ872" s="78"/>
      <c r="BK872" s="78"/>
      <c r="BL872" s="78"/>
      <c r="BM872" s="78"/>
      <c r="BN872" s="78"/>
      <c r="BO872" s="78"/>
      <c r="BP872" s="78"/>
      <c r="BQ872" s="78"/>
      <c r="BR872" s="78"/>
      <c r="BS872" s="78"/>
      <c r="BT872" s="78"/>
      <c r="BU872" s="10"/>
      <c r="BV872" s="78"/>
      <c r="BW872" s="78"/>
      <c r="BX872" s="78"/>
      <c r="BY872" s="78"/>
      <c r="BZ872" s="78"/>
      <c r="CA872" s="78"/>
      <c r="CB872" s="78"/>
      <c r="CC872" s="78"/>
      <c r="CD872" s="78"/>
    </row>
    <row r="873">
      <c r="A873" s="10"/>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78"/>
      <c r="AY873" s="78"/>
      <c r="AZ873" s="78"/>
      <c r="BA873" s="78"/>
      <c r="BB873" s="78"/>
      <c r="BC873" s="78"/>
      <c r="BD873" s="78"/>
      <c r="BE873" s="78"/>
      <c r="BF873" s="78"/>
      <c r="BG873" s="78"/>
      <c r="BH873" s="78"/>
      <c r="BI873" s="78"/>
      <c r="BJ873" s="78"/>
      <c r="BK873" s="78"/>
      <c r="BL873" s="78"/>
      <c r="BM873" s="78"/>
      <c r="BN873" s="78"/>
      <c r="BO873" s="78"/>
      <c r="BP873" s="78"/>
      <c r="BQ873" s="78"/>
      <c r="BR873" s="78"/>
      <c r="BS873" s="78"/>
      <c r="BT873" s="78"/>
      <c r="BU873" s="10"/>
      <c r="BV873" s="78"/>
      <c r="BW873" s="78"/>
      <c r="BX873" s="78"/>
      <c r="BY873" s="78"/>
      <c r="BZ873" s="78"/>
      <c r="CA873" s="78"/>
      <c r="CB873" s="78"/>
      <c r="CC873" s="78"/>
      <c r="CD873" s="78"/>
    </row>
    <row r="874">
      <c r="A874" s="10"/>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78"/>
      <c r="AY874" s="78"/>
      <c r="AZ874" s="78"/>
      <c r="BA874" s="78"/>
      <c r="BB874" s="78"/>
      <c r="BC874" s="78"/>
      <c r="BD874" s="78"/>
      <c r="BE874" s="78"/>
      <c r="BF874" s="78"/>
      <c r="BG874" s="78"/>
      <c r="BH874" s="78"/>
      <c r="BI874" s="78"/>
      <c r="BJ874" s="78"/>
      <c r="BK874" s="78"/>
      <c r="BL874" s="78"/>
      <c r="BM874" s="78"/>
      <c r="BN874" s="78"/>
      <c r="BO874" s="78"/>
      <c r="BP874" s="78"/>
      <c r="BQ874" s="78"/>
      <c r="BR874" s="78"/>
      <c r="BS874" s="78"/>
      <c r="BT874" s="78"/>
      <c r="BU874" s="10"/>
      <c r="BV874" s="78"/>
      <c r="BW874" s="78"/>
      <c r="BX874" s="78"/>
      <c r="BY874" s="78"/>
      <c r="BZ874" s="78"/>
      <c r="CA874" s="78"/>
      <c r="CB874" s="78"/>
      <c r="CC874" s="78"/>
      <c r="CD874" s="78"/>
    </row>
    <row r="875">
      <c r="A875" s="10"/>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78"/>
      <c r="AS875" s="78"/>
      <c r="AT875" s="78"/>
      <c r="AU875" s="78"/>
      <c r="AV875" s="78"/>
      <c r="AW875" s="78"/>
      <c r="AX875" s="78"/>
      <c r="AY875" s="78"/>
      <c r="AZ875" s="78"/>
      <c r="BA875" s="78"/>
      <c r="BB875" s="78"/>
      <c r="BC875" s="78"/>
      <c r="BD875" s="78"/>
      <c r="BE875" s="78"/>
      <c r="BF875" s="78"/>
      <c r="BG875" s="78"/>
      <c r="BH875" s="78"/>
      <c r="BI875" s="78"/>
      <c r="BJ875" s="78"/>
      <c r="BK875" s="78"/>
      <c r="BL875" s="78"/>
      <c r="BM875" s="78"/>
      <c r="BN875" s="78"/>
      <c r="BO875" s="78"/>
      <c r="BP875" s="78"/>
      <c r="BQ875" s="78"/>
      <c r="BR875" s="78"/>
      <c r="BS875" s="78"/>
      <c r="BT875" s="78"/>
      <c r="BU875" s="10"/>
      <c r="BV875" s="78"/>
      <c r="BW875" s="78"/>
      <c r="BX875" s="78"/>
      <c r="BY875" s="78"/>
      <c r="BZ875" s="78"/>
      <c r="CA875" s="78"/>
      <c r="CB875" s="78"/>
      <c r="CC875" s="78"/>
      <c r="CD875" s="78"/>
    </row>
    <row r="876">
      <c r="A876" s="10"/>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78"/>
      <c r="AY876" s="78"/>
      <c r="AZ876" s="78"/>
      <c r="BA876" s="78"/>
      <c r="BB876" s="78"/>
      <c r="BC876" s="78"/>
      <c r="BD876" s="78"/>
      <c r="BE876" s="78"/>
      <c r="BF876" s="78"/>
      <c r="BG876" s="78"/>
      <c r="BH876" s="78"/>
      <c r="BI876" s="78"/>
      <c r="BJ876" s="78"/>
      <c r="BK876" s="78"/>
      <c r="BL876" s="78"/>
      <c r="BM876" s="78"/>
      <c r="BN876" s="78"/>
      <c r="BO876" s="78"/>
      <c r="BP876" s="78"/>
      <c r="BQ876" s="78"/>
      <c r="BR876" s="78"/>
      <c r="BS876" s="78"/>
      <c r="BT876" s="78"/>
      <c r="BU876" s="10"/>
      <c r="BV876" s="78"/>
      <c r="BW876" s="78"/>
      <c r="BX876" s="78"/>
      <c r="BY876" s="78"/>
      <c r="BZ876" s="78"/>
      <c r="CA876" s="78"/>
      <c r="CB876" s="78"/>
      <c r="CC876" s="78"/>
      <c r="CD876" s="78"/>
    </row>
    <row r="877">
      <c r="A877" s="10"/>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78"/>
      <c r="AS877" s="78"/>
      <c r="AT877" s="78"/>
      <c r="AU877" s="78"/>
      <c r="AV877" s="78"/>
      <c r="AW877" s="78"/>
      <c r="AX877" s="78"/>
      <c r="AY877" s="78"/>
      <c r="AZ877" s="78"/>
      <c r="BA877" s="78"/>
      <c r="BB877" s="78"/>
      <c r="BC877" s="78"/>
      <c r="BD877" s="78"/>
      <c r="BE877" s="78"/>
      <c r="BF877" s="78"/>
      <c r="BG877" s="78"/>
      <c r="BH877" s="78"/>
      <c r="BI877" s="78"/>
      <c r="BJ877" s="78"/>
      <c r="BK877" s="78"/>
      <c r="BL877" s="78"/>
      <c r="BM877" s="78"/>
      <c r="BN877" s="78"/>
      <c r="BO877" s="78"/>
      <c r="BP877" s="78"/>
      <c r="BQ877" s="78"/>
      <c r="BR877" s="78"/>
      <c r="BS877" s="78"/>
      <c r="BT877" s="78"/>
      <c r="BU877" s="10"/>
      <c r="BV877" s="78"/>
      <c r="BW877" s="78"/>
      <c r="BX877" s="78"/>
      <c r="BY877" s="78"/>
      <c r="BZ877" s="78"/>
      <c r="CA877" s="78"/>
      <c r="CB877" s="78"/>
      <c r="CC877" s="78"/>
      <c r="CD877" s="78"/>
    </row>
    <row r="878">
      <c r="A878" s="10"/>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78"/>
      <c r="AY878" s="78"/>
      <c r="AZ878" s="78"/>
      <c r="BA878" s="78"/>
      <c r="BB878" s="78"/>
      <c r="BC878" s="78"/>
      <c r="BD878" s="78"/>
      <c r="BE878" s="78"/>
      <c r="BF878" s="78"/>
      <c r="BG878" s="78"/>
      <c r="BH878" s="78"/>
      <c r="BI878" s="78"/>
      <c r="BJ878" s="78"/>
      <c r="BK878" s="78"/>
      <c r="BL878" s="78"/>
      <c r="BM878" s="78"/>
      <c r="BN878" s="78"/>
      <c r="BO878" s="78"/>
      <c r="BP878" s="78"/>
      <c r="BQ878" s="78"/>
      <c r="BR878" s="78"/>
      <c r="BS878" s="78"/>
      <c r="BT878" s="78"/>
      <c r="BU878" s="10"/>
      <c r="BV878" s="78"/>
      <c r="BW878" s="78"/>
      <c r="BX878" s="78"/>
      <c r="BY878" s="78"/>
      <c r="BZ878" s="78"/>
      <c r="CA878" s="78"/>
      <c r="CB878" s="78"/>
      <c r="CC878" s="78"/>
      <c r="CD878" s="78"/>
    </row>
    <row r="879">
      <c r="A879" s="10"/>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78"/>
      <c r="AY879" s="78"/>
      <c r="AZ879" s="78"/>
      <c r="BA879" s="78"/>
      <c r="BB879" s="78"/>
      <c r="BC879" s="78"/>
      <c r="BD879" s="78"/>
      <c r="BE879" s="78"/>
      <c r="BF879" s="78"/>
      <c r="BG879" s="78"/>
      <c r="BH879" s="78"/>
      <c r="BI879" s="78"/>
      <c r="BJ879" s="78"/>
      <c r="BK879" s="78"/>
      <c r="BL879" s="78"/>
      <c r="BM879" s="78"/>
      <c r="BN879" s="78"/>
      <c r="BO879" s="78"/>
      <c r="BP879" s="78"/>
      <c r="BQ879" s="78"/>
      <c r="BR879" s="78"/>
      <c r="BS879" s="78"/>
      <c r="BT879" s="78"/>
      <c r="BU879" s="10"/>
      <c r="BV879" s="78"/>
      <c r="BW879" s="78"/>
      <c r="BX879" s="78"/>
      <c r="BY879" s="78"/>
      <c r="BZ879" s="78"/>
      <c r="CA879" s="78"/>
      <c r="CB879" s="78"/>
      <c r="CC879" s="78"/>
      <c r="CD879" s="78"/>
    </row>
    <row r="880">
      <c r="A880" s="10"/>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78"/>
      <c r="AS880" s="78"/>
      <c r="AT880" s="78"/>
      <c r="AU880" s="78"/>
      <c r="AV880" s="78"/>
      <c r="AW880" s="78"/>
      <c r="AX880" s="78"/>
      <c r="AY880" s="78"/>
      <c r="AZ880" s="78"/>
      <c r="BA880" s="78"/>
      <c r="BB880" s="78"/>
      <c r="BC880" s="78"/>
      <c r="BD880" s="78"/>
      <c r="BE880" s="78"/>
      <c r="BF880" s="78"/>
      <c r="BG880" s="78"/>
      <c r="BH880" s="78"/>
      <c r="BI880" s="78"/>
      <c r="BJ880" s="78"/>
      <c r="BK880" s="78"/>
      <c r="BL880" s="78"/>
      <c r="BM880" s="78"/>
      <c r="BN880" s="78"/>
      <c r="BO880" s="78"/>
      <c r="BP880" s="78"/>
      <c r="BQ880" s="78"/>
      <c r="BR880" s="78"/>
      <c r="BS880" s="78"/>
      <c r="BT880" s="78"/>
      <c r="BU880" s="10"/>
      <c r="BV880" s="78"/>
      <c r="BW880" s="78"/>
      <c r="BX880" s="78"/>
      <c r="BY880" s="78"/>
      <c r="BZ880" s="78"/>
      <c r="CA880" s="78"/>
      <c r="CB880" s="78"/>
      <c r="CC880" s="78"/>
      <c r="CD880" s="78"/>
    </row>
    <row r="881">
      <c r="A881" s="10"/>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78"/>
      <c r="AY881" s="78"/>
      <c r="AZ881" s="78"/>
      <c r="BA881" s="78"/>
      <c r="BB881" s="78"/>
      <c r="BC881" s="78"/>
      <c r="BD881" s="78"/>
      <c r="BE881" s="78"/>
      <c r="BF881" s="78"/>
      <c r="BG881" s="78"/>
      <c r="BH881" s="78"/>
      <c r="BI881" s="78"/>
      <c r="BJ881" s="78"/>
      <c r="BK881" s="78"/>
      <c r="BL881" s="78"/>
      <c r="BM881" s="78"/>
      <c r="BN881" s="78"/>
      <c r="BO881" s="78"/>
      <c r="BP881" s="78"/>
      <c r="BQ881" s="78"/>
      <c r="BR881" s="78"/>
      <c r="BS881" s="78"/>
      <c r="BT881" s="78"/>
      <c r="BU881" s="10"/>
      <c r="BV881" s="78"/>
      <c r="BW881" s="78"/>
      <c r="BX881" s="78"/>
      <c r="BY881" s="78"/>
      <c r="BZ881" s="78"/>
      <c r="CA881" s="78"/>
      <c r="CB881" s="78"/>
      <c r="CC881" s="78"/>
      <c r="CD881" s="78"/>
    </row>
    <row r="882">
      <c r="A882" s="10"/>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78"/>
      <c r="AY882" s="78"/>
      <c r="AZ882" s="78"/>
      <c r="BA882" s="78"/>
      <c r="BB882" s="78"/>
      <c r="BC882" s="78"/>
      <c r="BD882" s="78"/>
      <c r="BE882" s="78"/>
      <c r="BF882" s="78"/>
      <c r="BG882" s="78"/>
      <c r="BH882" s="78"/>
      <c r="BI882" s="78"/>
      <c r="BJ882" s="78"/>
      <c r="BK882" s="78"/>
      <c r="BL882" s="78"/>
      <c r="BM882" s="78"/>
      <c r="BN882" s="78"/>
      <c r="BO882" s="78"/>
      <c r="BP882" s="78"/>
      <c r="BQ882" s="78"/>
      <c r="BR882" s="78"/>
      <c r="BS882" s="78"/>
      <c r="BT882" s="78"/>
      <c r="BU882" s="10"/>
      <c r="BV882" s="78"/>
      <c r="BW882" s="78"/>
      <c r="BX882" s="78"/>
      <c r="BY882" s="78"/>
      <c r="BZ882" s="78"/>
      <c r="CA882" s="78"/>
      <c r="CB882" s="78"/>
      <c r="CC882" s="78"/>
      <c r="CD882" s="78"/>
    </row>
    <row r="883">
      <c r="A883" s="10"/>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78"/>
      <c r="AY883" s="78"/>
      <c r="AZ883" s="78"/>
      <c r="BA883" s="78"/>
      <c r="BB883" s="78"/>
      <c r="BC883" s="78"/>
      <c r="BD883" s="78"/>
      <c r="BE883" s="78"/>
      <c r="BF883" s="78"/>
      <c r="BG883" s="78"/>
      <c r="BH883" s="78"/>
      <c r="BI883" s="78"/>
      <c r="BJ883" s="78"/>
      <c r="BK883" s="78"/>
      <c r="BL883" s="78"/>
      <c r="BM883" s="78"/>
      <c r="BN883" s="78"/>
      <c r="BO883" s="78"/>
      <c r="BP883" s="78"/>
      <c r="BQ883" s="78"/>
      <c r="BR883" s="78"/>
      <c r="BS883" s="78"/>
      <c r="BT883" s="78"/>
      <c r="BU883" s="10"/>
      <c r="BV883" s="78"/>
      <c r="BW883" s="78"/>
      <c r="BX883" s="78"/>
      <c r="BY883" s="78"/>
      <c r="BZ883" s="78"/>
      <c r="CA883" s="78"/>
      <c r="CB883" s="78"/>
      <c r="CC883" s="78"/>
      <c r="CD883" s="78"/>
    </row>
    <row r="884">
      <c r="A884" s="10"/>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78"/>
      <c r="AY884" s="78"/>
      <c r="AZ884" s="78"/>
      <c r="BA884" s="78"/>
      <c r="BB884" s="78"/>
      <c r="BC884" s="78"/>
      <c r="BD884" s="78"/>
      <c r="BE884" s="78"/>
      <c r="BF884" s="78"/>
      <c r="BG884" s="78"/>
      <c r="BH884" s="78"/>
      <c r="BI884" s="78"/>
      <c r="BJ884" s="78"/>
      <c r="BK884" s="78"/>
      <c r="BL884" s="78"/>
      <c r="BM884" s="78"/>
      <c r="BN884" s="78"/>
      <c r="BO884" s="78"/>
      <c r="BP884" s="78"/>
      <c r="BQ884" s="78"/>
      <c r="BR884" s="78"/>
      <c r="BS884" s="78"/>
      <c r="BT884" s="78"/>
      <c r="BU884" s="10"/>
      <c r="BV884" s="78"/>
      <c r="BW884" s="78"/>
      <c r="BX884" s="78"/>
      <c r="BY884" s="78"/>
      <c r="BZ884" s="78"/>
      <c r="CA884" s="78"/>
      <c r="CB884" s="78"/>
      <c r="CC884" s="78"/>
      <c r="CD884" s="78"/>
    </row>
    <row r="885">
      <c r="A885" s="10"/>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78"/>
      <c r="AS885" s="78"/>
      <c r="AT885" s="78"/>
      <c r="AU885" s="78"/>
      <c r="AV885" s="78"/>
      <c r="AW885" s="78"/>
      <c r="AX885" s="78"/>
      <c r="AY885" s="78"/>
      <c r="AZ885" s="78"/>
      <c r="BA885" s="78"/>
      <c r="BB885" s="78"/>
      <c r="BC885" s="78"/>
      <c r="BD885" s="78"/>
      <c r="BE885" s="78"/>
      <c r="BF885" s="78"/>
      <c r="BG885" s="78"/>
      <c r="BH885" s="78"/>
      <c r="BI885" s="78"/>
      <c r="BJ885" s="78"/>
      <c r="BK885" s="78"/>
      <c r="BL885" s="78"/>
      <c r="BM885" s="78"/>
      <c r="BN885" s="78"/>
      <c r="BO885" s="78"/>
      <c r="BP885" s="78"/>
      <c r="BQ885" s="78"/>
      <c r="BR885" s="78"/>
      <c r="BS885" s="78"/>
      <c r="BT885" s="78"/>
      <c r="BU885" s="10"/>
      <c r="BV885" s="78"/>
      <c r="BW885" s="78"/>
      <c r="BX885" s="78"/>
      <c r="BY885" s="78"/>
      <c r="BZ885" s="78"/>
      <c r="CA885" s="78"/>
      <c r="CB885" s="78"/>
      <c r="CC885" s="78"/>
      <c r="CD885" s="78"/>
    </row>
    <row r="886">
      <c r="A886" s="10"/>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78"/>
      <c r="AY886" s="78"/>
      <c r="AZ886" s="78"/>
      <c r="BA886" s="78"/>
      <c r="BB886" s="78"/>
      <c r="BC886" s="78"/>
      <c r="BD886" s="78"/>
      <c r="BE886" s="78"/>
      <c r="BF886" s="78"/>
      <c r="BG886" s="78"/>
      <c r="BH886" s="78"/>
      <c r="BI886" s="78"/>
      <c r="BJ886" s="78"/>
      <c r="BK886" s="78"/>
      <c r="BL886" s="78"/>
      <c r="BM886" s="78"/>
      <c r="BN886" s="78"/>
      <c r="BO886" s="78"/>
      <c r="BP886" s="78"/>
      <c r="BQ886" s="78"/>
      <c r="BR886" s="78"/>
      <c r="BS886" s="78"/>
      <c r="BT886" s="78"/>
      <c r="BU886" s="10"/>
      <c r="BV886" s="78"/>
      <c r="BW886" s="78"/>
      <c r="BX886" s="78"/>
      <c r="BY886" s="78"/>
      <c r="BZ886" s="78"/>
      <c r="CA886" s="78"/>
      <c r="CB886" s="78"/>
      <c r="CC886" s="78"/>
      <c r="CD886" s="78"/>
    </row>
    <row r="887">
      <c r="A887" s="10"/>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78"/>
      <c r="AY887" s="78"/>
      <c r="AZ887" s="78"/>
      <c r="BA887" s="78"/>
      <c r="BB887" s="78"/>
      <c r="BC887" s="78"/>
      <c r="BD887" s="78"/>
      <c r="BE887" s="78"/>
      <c r="BF887" s="78"/>
      <c r="BG887" s="78"/>
      <c r="BH887" s="78"/>
      <c r="BI887" s="78"/>
      <c r="BJ887" s="78"/>
      <c r="BK887" s="78"/>
      <c r="BL887" s="78"/>
      <c r="BM887" s="78"/>
      <c r="BN887" s="78"/>
      <c r="BO887" s="78"/>
      <c r="BP887" s="78"/>
      <c r="BQ887" s="78"/>
      <c r="BR887" s="78"/>
      <c r="BS887" s="78"/>
      <c r="BT887" s="78"/>
      <c r="BU887" s="10"/>
      <c r="BV887" s="78"/>
      <c r="BW887" s="78"/>
      <c r="BX887" s="78"/>
      <c r="BY887" s="78"/>
      <c r="BZ887" s="78"/>
      <c r="CA887" s="78"/>
      <c r="CB887" s="78"/>
      <c r="CC887" s="78"/>
      <c r="CD887" s="78"/>
    </row>
    <row r="888">
      <c r="A888" s="10"/>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78"/>
      <c r="AS888" s="78"/>
      <c r="AT888" s="78"/>
      <c r="AU888" s="78"/>
      <c r="AV888" s="78"/>
      <c r="AW888" s="78"/>
      <c r="AX888" s="78"/>
      <c r="AY888" s="78"/>
      <c r="AZ888" s="78"/>
      <c r="BA888" s="78"/>
      <c r="BB888" s="78"/>
      <c r="BC888" s="78"/>
      <c r="BD888" s="78"/>
      <c r="BE888" s="78"/>
      <c r="BF888" s="78"/>
      <c r="BG888" s="78"/>
      <c r="BH888" s="78"/>
      <c r="BI888" s="78"/>
      <c r="BJ888" s="78"/>
      <c r="BK888" s="78"/>
      <c r="BL888" s="78"/>
      <c r="BM888" s="78"/>
      <c r="BN888" s="78"/>
      <c r="BO888" s="78"/>
      <c r="BP888" s="78"/>
      <c r="BQ888" s="78"/>
      <c r="BR888" s="78"/>
      <c r="BS888" s="78"/>
      <c r="BT888" s="78"/>
      <c r="BU888" s="10"/>
      <c r="BV888" s="78"/>
      <c r="BW888" s="78"/>
      <c r="BX888" s="78"/>
      <c r="BY888" s="78"/>
      <c r="BZ888" s="78"/>
      <c r="CA888" s="78"/>
      <c r="CB888" s="78"/>
      <c r="CC888" s="78"/>
      <c r="CD888" s="78"/>
    </row>
    <row r="889">
      <c r="A889" s="10"/>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78"/>
      <c r="AY889" s="78"/>
      <c r="AZ889" s="78"/>
      <c r="BA889" s="78"/>
      <c r="BB889" s="78"/>
      <c r="BC889" s="78"/>
      <c r="BD889" s="78"/>
      <c r="BE889" s="78"/>
      <c r="BF889" s="78"/>
      <c r="BG889" s="78"/>
      <c r="BH889" s="78"/>
      <c r="BI889" s="78"/>
      <c r="BJ889" s="78"/>
      <c r="BK889" s="78"/>
      <c r="BL889" s="78"/>
      <c r="BM889" s="78"/>
      <c r="BN889" s="78"/>
      <c r="BO889" s="78"/>
      <c r="BP889" s="78"/>
      <c r="BQ889" s="78"/>
      <c r="BR889" s="78"/>
      <c r="BS889" s="78"/>
      <c r="BT889" s="78"/>
      <c r="BU889" s="10"/>
      <c r="BV889" s="78"/>
      <c r="BW889" s="78"/>
      <c r="BX889" s="78"/>
      <c r="BY889" s="78"/>
      <c r="BZ889" s="78"/>
      <c r="CA889" s="78"/>
      <c r="CB889" s="78"/>
      <c r="CC889" s="78"/>
      <c r="CD889" s="78"/>
    </row>
    <row r="890">
      <c r="A890" s="10"/>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78"/>
      <c r="AY890" s="78"/>
      <c r="AZ890" s="78"/>
      <c r="BA890" s="78"/>
      <c r="BB890" s="78"/>
      <c r="BC890" s="78"/>
      <c r="BD890" s="78"/>
      <c r="BE890" s="78"/>
      <c r="BF890" s="78"/>
      <c r="BG890" s="78"/>
      <c r="BH890" s="78"/>
      <c r="BI890" s="78"/>
      <c r="BJ890" s="78"/>
      <c r="BK890" s="78"/>
      <c r="BL890" s="78"/>
      <c r="BM890" s="78"/>
      <c r="BN890" s="78"/>
      <c r="BO890" s="78"/>
      <c r="BP890" s="78"/>
      <c r="BQ890" s="78"/>
      <c r="BR890" s="78"/>
      <c r="BS890" s="78"/>
      <c r="BT890" s="78"/>
      <c r="BU890" s="10"/>
      <c r="BV890" s="78"/>
      <c r="BW890" s="78"/>
      <c r="BX890" s="78"/>
      <c r="BY890" s="78"/>
      <c r="BZ890" s="78"/>
      <c r="CA890" s="78"/>
      <c r="CB890" s="78"/>
      <c r="CC890" s="78"/>
      <c r="CD890" s="78"/>
    </row>
    <row r="891">
      <c r="A891" s="10"/>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78"/>
      <c r="AS891" s="78"/>
      <c r="AT891" s="78"/>
      <c r="AU891" s="78"/>
      <c r="AV891" s="78"/>
      <c r="AW891" s="78"/>
      <c r="AX891" s="78"/>
      <c r="AY891" s="78"/>
      <c r="AZ891" s="78"/>
      <c r="BA891" s="78"/>
      <c r="BB891" s="78"/>
      <c r="BC891" s="78"/>
      <c r="BD891" s="78"/>
      <c r="BE891" s="78"/>
      <c r="BF891" s="78"/>
      <c r="BG891" s="78"/>
      <c r="BH891" s="78"/>
      <c r="BI891" s="78"/>
      <c r="BJ891" s="78"/>
      <c r="BK891" s="78"/>
      <c r="BL891" s="78"/>
      <c r="BM891" s="78"/>
      <c r="BN891" s="78"/>
      <c r="BO891" s="78"/>
      <c r="BP891" s="78"/>
      <c r="BQ891" s="78"/>
      <c r="BR891" s="78"/>
      <c r="BS891" s="78"/>
      <c r="BT891" s="78"/>
      <c r="BU891" s="10"/>
      <c r="BV891" s="78"/>
      <c r="BW891" s="78"/>
      <c r="BX891" s="78"/>
      <c r="BY891" s="78"/>
      <c r="BZ891" s="78"/>
      <c r="CA891" s="78"/>
      <c r="CB891" s="78"/>
      <c r="CC891" s="78"/>
      <c r="CD891" s="78"/>
    </row>
    <row r="892">
      <c r="A892" s="10"/>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78"/>
      <c r="AY892" s="78"/>
      <c r="AZ892" s="78"/>
      <c r="BA892" s="78"/>
      <c r="BB892" s="78"/>
      <c r="BC892" s="78"/>
      <c r="BD892" s="78"/>
      <c r="BE892" s="78"/>
      <c r="BF892" s="78"/>
      <c r="BG892" s="78"/>
      <c r="BH892" s="78"/>
      <c r="BI892" s="78"/>
      <c r="BJ892" s="78"/>
      <c r="BK892" s="78"/>
      <c r="BL892" s="78"/>
      <c r="BM892" s="78"/>
      <c r="BN892" s="78"/>
      <c r="BO892" s="78"/>
      <c r="BP892" s="78"/>
      <c r="BQ892" s="78"/>
      <c r="BR892" s="78"/>
      <c r="BS892" s="78"/>
      <c r="BT892" s="78"/>
      <c r="BU892" s="10"/>
      <c r="BV892" s="78"/>
      <c r="BW892" s="78"/>
      <c r="BX892" s="78"/>
      <c r="BY892" s="78"/>
      <c r="BZ892" s="78"/>
      <c r="CA892" s="78"/>
      <c r="CB892" s="78"/>
      <c r="CC892" s="78"/>
      <c r="CD892" s="78"/>
    </row>
    <row r="893">
      <c r="A893" s="10"/>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c r="BC893" s="78"/>
      <c r="BD893" s="78"/>
      <c r="BE893" s="78"/>
      <c r="BF893" s="78"/>
      <c r="BG893" s="78"/>
      <c r="BH893" s="78"/>
      <c r="BI893" s="78"/>
      <c r="BJ893" s="78"/>
      <c r="BK893" s="78"/>
      <c r="BL893" s="78"/>
      <c r="BM893" s="78"/>
      <c r="BN893" s="78"/>
      <c r="BO893" s="78"/>
      <c r="BP893" s="78"/>
      <c r="BQ893" s="78"/>
      <c r="BR893" s="78"/>
      <c r="BS893" s="78"/>
      <c r="BT893" s="78"/>
      <c r="BU893" s="10"/>
      <c r="BV893" s="78"/>
      <c r="BW893" s="78"/>
      <c r="BX893" s="78"/>
      <c r="BY893" s="78"/>
      <c r="BZ893" s="78"/>
      <c r="CA893" s="78"/>
      <c r="CB893" s="78"/>
      <c r="CC893" s="78"/>
      <c r="CD893" s="78"/>
    </row>
    <row r="894">
      <c r="A894" s="10"/>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78"/>
      <c r="AY894" s="78"/>
      <c r="AZ894" s="78"/>
      <c r="BA894" s="78"/>
      <c r="BB894" s="78"/>
      <c r="BC894" s="78"/>
      <c r="BD894" s="78"/>
      <c r="BE894" s="78"/>
      <c r="BF894" s="78"/>
      <c r="BG894" s="78"/>
      <c r="BH894" s="78"/>
      <c r="BI894" s="78"/>
      <c r="BJ894" s="78"/>
      <c r="BK894" s="78"/>
      <c r="BL894" s="78"/>
      <c r="BM894" s="78"/>
      <c r="BN894" s="78"/>
      <c r="BO894" s="78"/>
      <c r="BP894" s="78"/>
      <c r="BQ894" s="78"/>
      <c r="BR894" s="78"/>
      <c r="BS894" s="78"/>
      <c r="BT894" s="78"/>
      <c r="BU894" s="10"/>
      <c r="BV894" s="78"/>
      <c r="BW894" s="78"/>
      <c r="BX894" s="78"/>
      <c r="BY894" s="78"/>
      <c r="BZ894" s="78"/>
      <c r="CA894" s="78"/>
      <c r="CB894" s="78"/>
      <c r="CC894" s="78"/>
      <c r="CD894" s="78"/>
    </row>
    <row r="895">
      <c r="A895" s="10"/>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78"/>
      <c r="AY895" s="78"/>
      <c r="AZ895" s="78"/>
      <c r="BA895" s="78"/>
      <c r="BB895" s="78"/>
      <c r="BC895" s="78"/>
      <c r="BD895" s="78"/>
      <c r="BE895" s="78"/>
      <c r="BF895" s="78"/>
      <c r="BG895" s="78"/>
      <c r="BH895" s="78"/>
      <c r="BI895" s="78"/>
      <c r="BJ895" s="78"/>
      <c r="BK895" s="78"/>
      <c r="BL895" s="78"/>
      <c r="BM895" s="78"/>
      <c r="BN895" s="78"/>
      <c r="BO895" s="78"/>
      <c r="BP895" s="78"/>
      <c r="BQ895" s="78"/>
      <c r="BR895" s="78"/>
      <c r="BS895" s="78"/>
      <c r="BT895" s="78"/>
      <c r="BU895" s="10"/>
      <c r="BV895" s="78"/>
      <c r="BW895" s="78"/>
      <c r="BX895" s="78"/>
      <c r="BY895" s="78"/>
      <c r="BZ895" s="78"/>
      <c r="CA895" s="78"/>
      <c r="CB895" s="78"/>
      <c r="CC895" s="78"/>
      <c r="CD895" s="78"/>
    </row>
    <row r="896">
      <c r="A896" s="10"/>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78"/>
      <c r="AY896" s="78"/>
      <c r="AZ896" s="78"/>
      <c r="BA896" s="78"/>
      <c r="BB896" s="78"/>
      <c r="BC896" s="78"/>
      <c r="BD896" s="78"/>
      <c r="BE896" s="78"/>
      <c r="BF896" s="78"/>
      <c r="BG896" s="78"/>
      <c r="BH896" s="78"/>
      <c r="BI896" s="78"/>
      <c r="BJ896" s="78"/>
      <c r="BK896" s="78"/>
      <c r="BL896" s="78"/>
      <c r="BM896" s="78"/>
      <c r="BN896" s="78"/>
      <c r="BO896" s="78"/>
      <c r="BP896" s="78"/>
      <c r="BQ896" s="78"/>
      <c r="BR896" s="78"/>
      <c r="BS896" s="78"/>
      <c r="BT896" s="78"/>
      <c r="BU896" s="10"/>
      <c r="BV896" s="78"/>
      <c r="BW896" s="78"/>
      <c r="BX896" s="78"/>
      <c r="BY896" s="78"/>
      <c r="BZ896" s="78"/>
      <c r="CA896" s="78"/>
      <c r="CB896" s="78"/>
      <c r="CC896" s="78"/>
      <c r="CD896" s="78"/>
    </row>
    <row r="897">
      <c r="A897" s="10"/>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78"/>
      <c r="AY897" s="78"/>
      <c r="AZ897" s="78"/>
      <c r="BA897" s="78"/>
      <c r="BB897" s="78"/>
      <c r="BC897" s="78"/>
      <c r="BD897" s="78"/>
      <c r="BE897" s="78"/>
      <c r="BF897" s="78"/>
      <c r="BG897" s="78"/>
      <c r="BH897" s="78"/>
      <c r="BI897" s="78"/>
      <c r="BJ897" s="78"/>
      <c r="BK897" s="78"/>
      <c r="BL897" s="78"/>
      <c r="BM897" s="78"/>
      <c r="BN897" s="78"/>
      <c r="BO897" s="78"/>
      <c r="BP897" s="78"/>
      <c r="BQ897" s="78"/>
      <c r="BR897" s="78"/>
      <c r="BS897" s="78"/>
      <c r="BT897" s="78"/>
      <c r="BU897" s="10"/>
      <c r="BV897" s="78"/>
      <c r="BW897" s="78"/>
      <c r="BX897" s="78"/>
      <c r="BY897" s="78"/>
      <c r="BZ897" s="78"/>
      <c r="CA897" s="78"/>
      <c r="CB897" s="78"/>
      <c r="CC897" s="78"/>
      <c r="CD897" s="78"/>
    </row>
    <row r="898">
      <c r="A898" s="10"/>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78"/>
      <c r="AY898" s="78"/>
      <c r="AZ898" s="78"/>
      <c r="BA898" s="78"/>
      <c r="BB898" s="78"/>
      <c r="BC898" s="78"/>
      <c r="BD898" s="78"/>
      <c r="BE898" s="78"/>
      <c r="BF898" s="78"/>
      <c r="BG898" s="78"/>
      <c r="BH898" s="78"/>
      <c r="BI898" s="78"/>
      <c r="BJ898" s="78"/>
      <c r="BK898" s="78"/>
      <c r="BL898" s="78"/>
      <c r="BM898" s="78"/>
      <c r="BN898" s="78"/>
      <c r="BO898" s="78"/>
      <c r="BP898" s="78"/>
      <c r="BQ898" s="78"/>
      <c r="BR898" s="78"/>
      <c r="BS898" s="78"/>
      <c r="BT898" s="78"/>
      <c r="BU898" s="10"/>
      <c r="BV898" s="78"/>
      <c r="BW898" s="78"/>
      <c r="BX898" s="78"/>
      <c r="BY898" s="78"/>
      <c r="BZ898" s="78"/>
      <c r="CA898" s="78"/>
      <c r="CB898" s="78"/>
      <c r="CC898" s="78"/>
      <c r="CD898" s="78"/>
    </row>
    <row r="899">
      <c r="A899" s="10"/>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78"/>
      <c r="AY899" s="78"/>
      <c r="AZ899" s="78"/>
      <c r="BA899" s="78"/>
      <c r="BB899" s="78"/>
      <c r="BC899" s="78"/>
      <c r="BD899" s="78"/>
      <c r="BE899" s="78"/>
      <c r="BF899" s="78"/>
      <c r="BG899" s="78"/>
      <c r="BH899" s="78"/>
      <c r="BI899" s="78"/>
      <c r="BJ899" s="78"/>
      <c r="BK899" s="78"/>
      <c r="BL899" s="78"/>
      <c r="BM899" s="78"/>
      <c r="BN899" s="78"/>
      <c r="BO899" s="78"/>
      <c r="BP899" s="78"/>
      <c r="BQ899" s="78"/>
      <c r="BR899" s="78"/>
      <c r="BS899" s="78"/>
      <c r="BT899" s="78"/>
      <c r="BU899" s="10"/>
      <c r="BV899" s="78"/>
      <c r="BW899" s="78"/>
      <c r="BX899" s="78"/>
      <c r="BY899" s="78"/>
      <c r="BZ899" s="78"/>
      <c r="CA899" s="78"/>
      <c r="CB899" s="78"/>
      <c r="CC899" s="78"/>
      <c r="CD899" s="78"/>
    </row>
    <row r="900">
      <c r="A900" s="10"/>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78"/>
      <c r="AS900" s="78"/>
      <c r="AT900" s="78"/>
      <c r="AU900" s="78"/>
      <c r="AV900" s="78"/>
      <c r="AW900" s="78"/>
      <c r="AX900" s="78"/>
      <c r="AY900" s="78"/>
      <c r="AZ900" s="78"/>
      <c r="BA900" s="78"/>
      <c r="BB900" s="78"/>
      <c r="BC900" s="78"/>
      <c r="BD900" s="78"/>
      <c r="BE900" s="78"/>
      <c r="BF900" s="78"/>
      <c r="BG900" s="78"/>
      <c r="BH900" s="78"/>
      <c r="BI900" s="78"/>
      <c r="BJ900" s="78"/>
      <c r="BK900" s="78"/>
      <c r="BL900" s="78"/>
      <c r="BM900" s="78"/>
      <c r="BN900" s="78"/>
      <c r="BO900" s="78"/>
      <c r="BP900" s="78"/>
      <c r="BQ900" s="78"/>
      <c r="BR900" s="78"/>
      <c r="BS900" s="78"/>
      <c r="BT900" s="78"/>
      <c r="BU900" s="10"/>
      <c r="BV900" s="78"/>
      <c r="BW900" s="78"/>
      <c r="BX900" s="78"/>
      <c r="BY900" s="78"/>
      <c r="BZ900" s="78"/>
      <c r="CA900" s="78"/>
      <c r="CB900" s="78"/>
      <c r="CC900" s="78"/>
      <c r="CD900" s="78"/>
    </row>
    <row r="901">
      <c r="A901" s="10"/>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78"/>
      <c r="AY901" s="78"/>
      <c r="AZ901" s="78"/>
      <c r="BA901" s="78"/>
      <c r="BB901" s="78"/>
      <c r="BC901" s="78"/>
      <c r="BD901" s="78"/>
      <c r="BE901" s="78"/>
      <c r="BF901" s="78"/>
      <c r="BG901" s="78"/>
      <c r="BH901" s="78"/>
      <c r="BI901" s="78"/>
      <c r="BJ901" s="78"/>
      <c r="BK901" s="78"/>
      <c r="BL901" s="78"/>
      <c r="BM901" s="78"/>
      <c r="BN901" s="78"/>
      <c r="BO901" s="78"/>
      <c r="BP901" s="78"/>
      <c r="BQ901" s="78"/>
      <c r="BR901" s="78"/>
      <c r="BS901" s="78"/>
      <c r="BT901" s="78"/>
      <c r="BU901" s="10"/>
      <c r="BV901" s="78"/>
      <c r="BW901" s="78"/>
      <c r="BX901" s="78"/>
      <c r="BY901" s="78"/>
      <c r="BZ901" s="78"/>
      <c r="CA901" s="78"/>
      <c r="CB901" s="78"/>
      <c r="CC901" s="78"/>
      <c r="CD901" s="78"/>
    </row>
    <row r="902">
      <c r="A902" s="10"/>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78"/>
      <c r="AY902" s="78"/>
      <c r="AZ902" s="78"/>
      <c r="BA902" s="78"/>
      <c r="BB902" s="78"/>
      <c r="BC902" s="78"/>
      <c r="BD902" s="78"/>
      <c r="BE902" s="78"/>
      <c r="BF902" s="78"/>
      <c r="BG902" s="78"/>
      <c r="BH902" s="78"/>
      <c r="BI902" s="78"/>
      <c r="BJ902" s="78"/>
      <c r="BK902" s="78"/>
      <c r="BL902" s="78"/>
      <c r="BM902" s="78"/>
      <c r="BN902" s="78"/>
      <c r="BO902" s="78"/>
      <c r="BP902" s="78"/>
      <c r="BQ902" s="78"/>
      <c r="BR902" s="78"/>
      <c r="BS902" s="78"/>
      <c r="BT902" s="78"/>
      <c r="BU902" s="10"/>
      <c r="BV902" s="78"/>
      <c r="BW902" s="78"/>
      <c r="BX902" s="78"/>
      <c r="BY902" s="78"/>
      <c r="BZ902" s="78"/>
      <c r="CA902" s="78"/>
      <c r="CB902" s="78"/>
      <c r="CC902" s="78"/>
      <c r="CD902" s="78"/>
    </row>
    <row r="903">
      <c r="A903" s="10"/>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78"/>
      <c r="AY903" s="78"/>
      <c r="AZ903" s="78"/>
      <c r="BA903" s="78"/>
      <c r="BB903" s="78"/>
      <c r="BC903" s="78"/>
      <c r="BD903" s="78"/>
      <c r="BE903" s="78"/>
      <c r="BF903" s="78"/>
      <c r="BG903" s="78"/>
      <c r="BH903" s="78"/>
      <c r="BI903" s="78"/>
      <c r="BJ903" s="78"/>
      <c r="BK903" s="78"/>
      <c r="BL903" s="78"/>
      <c r="BM903" s="78"/>
      <c r="BN903" s="78"/>
      <c r="BO903" s="78"/>
      <c r="BP903" s="78"/>
      <c r="BQ903" s="78"/>
      <c r="BR903" s="78"/>
      <c r="BS903" s="78"/>
      <c r="BT903" s="78"/>
      <c r="BU903" s="10"/>
      <c r="BV903" s="78"/>
      <c r="BW903" s="78"/>
      <c r="BX903" s="78"/>
      <c r="BY903" s="78"/>
      <c r="BZ903" s="78"/>
      <c r="CA903" s="78"/>
      <c r="CB903" s="78"/>
      <c r="CC903" s="78"/>
      <c r="CD903" s="78"/>
    </row>
    <row r="904">
      <c r="A904" s="10"/>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c r="BC904" s="78"/>
      <c r="BD904" s="78"/>
      <c r="BE904" s="78"/>
      <c r="BF904" s="78"/>
      <c r="BG904" s="78"/>
      <c r="BH904" s="78"/>
      <c r="BI904" s="78"/>
      <c r="BJ904" s="78"/>
      <c r="BK904" s="78"/>
      <c r="BL904" s="78"/>
      <c r="BM904" s="78"/>
      <c r="BN904" s="78"/>
      <c r="BO904" s="78"/>
      <c r="BP904" s="78"/>
      <c r="BQ904" s="78"/>
      <c r="BR904" s="78"/>
      <c r="BS904" s="78"/>
      <c r="BT904" s="78"/>
      <c r="BU904" s="10"/>
      <c r="BV904" s="78"/>
      <c r="BW904" s="78"/>
      <c r="BX904" s="78"/>
      <c r="BY904" s="78"/>
      <c r="BZ904" s="78"/>
      <c r="CA904" s="78"/>
      <c r="CB904" s="78"/>
      <c r="CC904" s="78"/>
      <c r="CD904" s="78"/>
    </row>
    <row r="905">
      <c r="A905" s="10"/>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78"/>
      <c r="AY905" s="78"/>
      <c r="AZ905" s="78"/>
      <c r="BA905" s="78"/>
      <c r="BB905" s="78"/>
      <c r="BC905" s="78"/>
      <c r="BD905" s="78"/>
      <c r="BE905" s="78"/>
      <c r="BF905" s="78"/>
      <c r="BG905" s="78"/>
      <c r="BH905" s="78"/>
      <c r="BI905" s="78"/>
      <c r="BJ905" s="78"/>
      <c r="BK905" s="78"/>
      <c r="BL905" s="78"/>
      <c r="BM905" s="78"/>
      <c r="BN905" s="78"/>
      <c r="BO905" s="78"/>
      <c r="BP905" s="78"/>
      <c r="BQ905" s="78"/>
      <c r="BR905" s="78"/>
      <c r="BS905" s="78"/>
      <c r="BT905" s="78"/>
      <c r="BU905" s="10"/>
      <c r="BV905" s="78"/>
      <c r="BW905" s="78"/>
      <c r="BX905" s="78"/>
      <c r="BY905" s="78"/>
      <c r="BZ905" s="78"/>
      <c r="CA905" s="78"/>
      <c r="CB905" s="78"/>
      <c r="CC905" s="78"/>
      <c r="CD905" s="78"/>
    </row>
    <row r="906">
      <c r="A906" s="10"/>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78"/>
      <c r="AS906" s="78"/>
      <c r="AT906" s="78"/>
      <c r="AU906" s="78"/>
      <c r="AV906" s="78"/>
      <c r="AW906" s="78"/>
      <c r="AX906" s="78"/>
      <c r="AY906" s="78"/>
      <c r="AZ906" s="78"/>
      <c r="BA906" s="78"/>
      <c r="BB906" s="78"/>
      <c r="BC906" s="78"/>
      <c r="BD906" s="78"/>
      <c r="BE906" s="78"/>
      <c r="BF906" s="78"/>
      <c r="BG906" s="78"/>
      <c r="BH906" s="78"/>
      <c r="BI906" s="78"/>
      <c r="BJ906" s="78"/>
      <c r="BK906" s="78"/>
      <c r="BL906" s="78"/>
      <c r="BM906" s="78"/>
      <c r="BN906" s="78"/>
      <c r="BO906" s="78"/>
      <c r="BP906" s="78"/>
      <c r="BQ906" s="78"/>
      <c r="BR906" s="78"/>
      <c r="BS906" s="78"/>
      <c r="BT906" s="78"/>
      <c r="BU906" s="10"/>
      <c r="BV906" s="78"/>
      <c r="BW906" s="78"/>
      <c r="BX906" s="78"/>
      <c r="BY906" s="78"/>
      <c r="BZ906" s="78"/>
      <c r="CA906" s="78"/>
      <c r="CB906" s="78"/>
      <c r="CC906" s="78"/>
      <c r="CD906" s="78"/>
    </row>
    <row r="907">
      <c r="A907" s="10"/>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78"/>
      <c r="AY907" s="78"/>
      <c r="AZ907" s="78"/>
      <c r="BA907" s="78"/>
      <c r="BB907" s="78"/>
      <c r="BC907" s="78"/>
      <c r="BD907" s="78"/>
      <c r="BE907" s="78"/>
      <c r="BF907" s="78"/>
      <c r="BG907" s="78"/>
      <c r="BH907" s="78"/>
      <c r="BI907" s="78"/>
      <c r="BJ907" s="78"/>
      <c r="BK907" s="78"/>
      <c r="BL907" s="78"/>
      <c r="BM907" s="78"/>
      <c r="BN907" s="78"/>
      <c r="BO907" s="78"/>
      <c r="BP907" s="78"/>
      <c r="BQ907" s="78"/>
      <c r="BR907" s="78"/>
      <c r="BS907" s="78"/>
      <c r="BT907" s="78"/>
      <c r="BU907" s="10"/>
      <c r="BV907" s="78"/>
      <c r="BW907" s="78"/>
      <c r="BX907" s="78"/>
      <c r="BY907" s="78"/>
      <c r="BZ907" s="78"/>
      <c r="CA907" s="78"/>
      <c r="CB907" s="78"/>
      <c r="CC907" s="78"/>
      <c r="CD907" s="78"/>
    </row>
    <row r="908">
      <c r="A908" s="10"/>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78"/>
      <c r="AY908" s="78"/>
      <c r="AZ908" s="78"/>
      <c r="BA908" s="78"/>
      <c r="BB908" s="78"/>
      <c r="BC908" s="78"/>
      <c r="BD908" s="78"/>
      <c r="BE908" s="78"/>
      <c r="BF908" s="78"/>
      <c r="BG908" s="78"/>
      <c r="BH908" s="78"/>
      <c r="BI908" s="78"/>
      <c r="BJ908" s="78"/>
      <c r="BK908" s="78"/>
      <c r="BL908" s="78"/>
      <c r="BM908" s="78"/>
      <c r="BN908" s="78"/>
      <c r="BO908" s="78"/>
      <c r="BP908" s="78"/>
      <c r="BQ908" s="78"/>
      <c r="BR908" s="78"/>
      <c r="BS908" s="78"/>
      <c r="BT908" s="78"/>
      <c r="BU908" s="10"/>
      <c r="BV908" s="78"/>
      <c r="BW908" s="78"/>
      <c r="BX908" s="78"/>
      <c r="BY908" s="78"/>
      <c r="BZ908" s="78"/>
      <c r="CA908" s="78"/>
      <c r="CB908" s="78"/>
      <c r="CC908" s="78"/>
      <c r="CD908" s="78"/>
    </row>
    <row r="909">
      <c r="A909" s="10"/>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78"/>
      <c r="AY909" s="78"/>
      <c r="AZ909" s="78"/>
      <c r="BA909" s="78"/>
      <c r="BB909" s="78"/>
      <c r="BC909" s="78"/>
      <c r="BD909" s="78"/>
      <c r="BE909" s="78"/>
      <c r="BF909" s="78"/>
      <c r="BG909" s="78"/>
      <c r="BH909" s="78"/>
      <c r="BI909" s="78"/>
      <c r="BJ909" s="78"/>
      <c r="BK909" s="78"/>
      <c r="BL909" s="78"/>
      <c r="BM909" s="78"/>
      <c r="BN909" s="78"/>
      <c r="BO909" s="78"/>
      <c r="BP909" s="78"/>
      <c r="BQ909" s="78"/>
      <c r="BR909" s="78"/>
      <c r="BS909" s="78"/>
      <c r="BT909" s="78"/>
      <c r="BU909" s="10"/>
      <c r="BV909" s="78"/>
      <c r="BW909" s="78"/>
      <c r="BX909" s="78"/>
      <c r="BY909" s="78"/>
      <c r="BZ909" s="78"/>
      <c r="CA909" s="78"/>
      <c r="CB909" s="78"/>
      <c r="CC909" s="78"/>
      <c r="CD909" s="78"/>
    </row>
    <row r="910">
      <c r="A910" s="10"/>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78"/>
      <c r="AY910" s="78"/>
      <c r="AZ910" s="78"/>
      <c r="BA910" s="78"/>
      <c r="BB910" s="78"/>
      <c r="BC910" s="78"/>
      <c r="BD910" s="78"/>
      <c r="BE910" s="78"/>
      <c r="BF910" s="78"/>
      <c r="BG910" s="78"/>
      <c r="BH910" s="78"/>
      <c r="BI910" s="78"/>
      <c r="BJ910" s="78"/>
      <c r="BK910" s="78"/>
      <c r="BL910" s="78"/>
      <c r="BM910" s="78"/>
      <c r="BN910" s="78"/>
      <c r="BO910" s="78"/>
      <c r="BP910" s="78"/>
      <c r="BQ910" s="78"/>
      <c r="BR910" s="78"/>
      <c r="BS910" s="78"/>
      <c r="BT910" s="78"/>
      <c r="BU910" s="10"/>
      <c r="BV910" s="78"/>
      <c r="BW910" s="78"/>
      <c r="BX910" s="78"/>
      <c r="BY910" s="78"/>
      <c r="BZ910" s="78"/>
      <c r="CA910" s="78"/>
      <c r="CB910" s="78"/>
      <c r="CC910" s="78"/>
      <c r="CD910" s="78"/>
    </row>
    <row r="911">
      <c r="A911" s="10"/>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78"/>
      <c r="AS911" s="78"/>
      <c r="AT911" s="78"/>
      <c r="AU911" s="78"/>
      <c r="AV911" s="78"/>
      <c r="AW911" s="78"/>
      <c r="AX911" s="78"/>
      <c r="AY911" s="78"/>
      <c r="AZ911" s="78"/>
      <c r="BA911" s="78"/>
      <c r="BB911" s="78"/>
      <c r="BC911" s="78"/>
      <c r="BD911" s="78"/>
      <c r="BE911" s="78"/>
      <c r="BF911" s="78"/>
      <c r="BG911" s="78"/>
      <c r="BH911" s="78"/>
      <c r="BI911" s="78"/>
      <c r="BJ911" s="78"/>
      <c r="BK911" s="78"/>
      <c r="BL911" s="78"/>
      <c r="BM911" s="78"/>
      <c r="BN911" s="78"/>
      <c r="BO911" s="78"/>
      <c r="BP911" s="78"/>
      <c r="BQ911" s="78"/>
      <c r="BR911" s="78"/>
      <c r="BS911" s="78"/>
      <c r="BT911" s="78"/>
      <c r="BU911" s="10"/>
      <c r="BV911" s="78"/>
      <c r="BW911" s="78"/>
      <c r="BX911" s="78"/>
      <c r="BY911" s="78"/>
      <c r="BZ911" s="78"/>
      <c r="CA911" s="78"/>
      <c r="CB911" s="78"/>
      <c r="CC911" s="78"/>
      <c r="CD911" s="78"/>
    </row>
    <row r="912">
      <c r="A912" s="10"/>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78"/>
      <c r="AY912" s="78"/>
      <c r="AZ912" s="78"/>
      <c r="BA912" s="78"/>
      <c r="BB912" s="78"/>
      <c r="BC912" s="78"/>
      <c r="BD912" s="78"/>
      <c r="BE912" s="78"/>
      <c r="BF912" s="78"/>
      <c r="BG912" s="78"/>
      <c r="BH912" s="78"/>
      <c r="BI912" s="78"/>
      <c r="BJ912" s="78"/>
      <c r="BK912" s="78"/>
      <c r="BL912" s="78"/>
      <c r="BM912" s="78"/>
      <c r="BN912" s="78"/>
      <c r="BO912" s="78"/>
      <c r="BP912" s="78"/>
      <c r="BQ912" s="78"/>
      <c r="BR912" s="78"/>
      <c r="BS912" s="78"/>
      <c r="BT912" s="78"/>
      <c r="BU912" s="10"/>
      <c r="BV912" s="78"/>
      <c r="BW912" s="78"/>
      <c r="BX912" s="78"/>
      <c r="BY912" s="78"/>
      <c r="BZ912" s="78"/>
      <c r="CA912" s="78"/>
      <c r="CB912" s="78"/>
      <c r="CC912" s="78"/>
      <c r="CD912" s="78"/>
    </row>
    <row r="913">
      <c r="A913" s="10"/>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78"/>
      <c r="AY913" s="78"/>
      <c r="AZ913" s="78"/>
      <c r="BA913" s="78"/>
      <c r="BB913" s="78"/>
      <c r="BC913" s="78"/>
      <c r="BD913" s="78"/>
      <c r="BE913" s="78"/>
      <c r="BF913" s="78"/>
      <c r="BG913" s="78"/>
      <c r="BH913" s="78"/>
      <c r="BI913" s="78"/>
      <c r="BJ913" s="78"/>
      <c r="BK913" s="78"/>
      <c r="BL913" s="78"/>
      <c r="BM913" s="78"/>
      <c r="BN913" s="78"/>
      <c r="BO913" s="78"/>
      <c r="BP913" s="78"/>
      <c r="BQ913" s="78"/>
      <c r="BR913" s="78"/>
      <c r="BS913" s="78"/>
      <c r="BT913" s="78"/>
      <c r="BU913" s="10"/>
      <c r="BV913" s="78"/>
      <c r="BW913" s="78"/>
      <c r="BX913" s="78"/>
      <c r="BY913" s="78"/>
      <c r="BZ913" s="78"/>
      <c r="CA913" s="78"/>
      <c r="CB913" s="78"/>
      <c r="CC913" s="78"/>
      <c r="CD913" s="78"/>
    </row>
    <row r="914">
      <c r="A914" s="10"/>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78"/>
      <c r="AY914" s="78"/>
      <c r="AZ914" s="78"/>
      <c r="BA914" s="78"/>
      <c r="BB914" s="78"/>
      <c r="BC914" s="78"/>
      <c r="BD914" s="78"/>
      <c r="BE914" s="78"/>
      <c r="BF914" s="78"/>
      <c r="BG914" s="78"/>
      <c r="BH914" s="78"/>
      <c r="BI914" s="78"/>
      <c r="BJ914" s="78"/>
      <c r="BK914" s="78"/>
      <c r="BL914" s="78"/>
      <c r="BM914" s="78"/>
      <c r="BN914" s="78"/>
      <c r="BO914" s="78"/>
      <c r="BP914" s="78"/>
      <c r="BQ914" s="78"/>
      <c r="BR914" s="78"/>
      <c r="BS914" s="78"/>
      <c r="BT914" s="78"/>
      <c r="BU914" s="10"/>
      <c r="BV914" s="78"/>
      <c r="BW914" s="78"/>
      <c r="BX914" s="78"/>
      <c r="BY914" s="78"/>
      <c r="BZ914" s="78"/>
      <c r="CA914" s="78"/>
      <c r="CB914" s="78"/>
      <c r="CC914" s="78"/>
      <c r="CD914" s="78"/>
    </row>
    <row r="915">
      <c r="A915" s="10"/>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78"/>
      <c r="AY915" s="78"/>
      <c r="AZ915" s="78"/>
      <c r="BA915" s="78"/>
      <c r="BB915" s="78"/>
      <c r="BC915" s="78"/>
      <c r="BD915" s="78"/>
      <c r="BE915" s="78"/>
      <c r="BF915" s="78"/>
      <c r="BG915" s="78"/>
      <c r="BH915" s="78"/>
      <c r="BI915" s="78"/>
      <c r="BJ915" s="78"/>
      <c r="BK915" s="78"/>
      <c r="BL915" s="78"/>
      <c r="BM915" s="78"/>
      <c r="BN915" s="78"/>
      <c r="BO915" s="78"/>
      <c r="BP915" s="78"/>
      <c r="BQ915" s="78"/>
      <c r="BR915" s="78"/>
      <c r="BS915" s="78"/>
      <c r="BT915" s="78"/>
      <c r="BU915" s="10"/>
      <c r="BV915" s="78"/>
      <c r="BW915" s="78"/>
      <c r="BX915" s="78"/>
      <c r="BY915" s="78"/>
      <c r="BZ915" s="78"/>
      <c r="CA915" s="78"/>
      <c r="CB915" s="78"/>
      <c r="CC915" s="78"/>
      <c r="CD915" s="78"/>
    </row>
    <row r="916">
      <c r="A916" s="10"/>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78"/>
      <c r="AY916" s="78"/>
      <c r="AZ916" s="78"/>
      <c r="BA916" s="78"/>
      <c r="BB916" s="78"/>
      <c r="BC916" s="78"/>
      <c r="BD916" s="78"/>
      <c r="BE916" s="78"/>
      <c r="BF916" s="78"/>
      <c r="BG916" s="78"/>
      <c r="BH916" s="78"/>
      <c r="BI916" s="78"/>
      <c r="BJ916" s="78"/>
      <c r="BK916" s="78"/>
      <c r="BL916" s="78"/>
      <c r="BM916" s="78"/>
      <c r="BN916" s="78"/>
      <c r="BO916" s="78"/>
      <c r="BP916" s="78"/>
      <c r="BQ916" s="78"/>
      <c r="BR916" s="78"/>
      <c r="BS916" s="78"/>
      <c r="BT916" s="78"/>
      <c r="BU916" s="10"/>
      <c r="BV916" s="78"/>
      <c r="BW916" s="78"/>
      <c r="BX916" s="78"/>
      <c r="BY916" s="78"/>
      <c r="BZ916" s="78"/>
      <c r="CA916" s="78"/>
      <c r="CB916" s="78"/>
      <c r="CC916" s="78"/>
      <c r="CD916" s="78"/>
    </row>
    <row r="917">
      <c r="A917" s="10"/>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78"/>
      <c r="AY917" s="78"/>
      <c r="AZ917" s="78"/>
      <c r="BA917" s="78"/>
      <c r="BB917" s="78"/>
      <c r="BC917" s="78"/>
      <c r="BD917" s="78"/>
      <c r="BE917" s="78"/>
      <c r="BF917" s="78"/>
      <c r="BG917" s="78"/>
      <c r="BH917" s="78"/>
      <c r="BI917" s="78"/>
      <c r="BJ917" s="78"/>
      <c r="BK917" s="78"/>
      <c r="BL917" s="78"/>
      <c r="BM917" s="78"/>
      <c r="BN917" s="78"/>
      <c r="BO917" s="78"/>
      <c r="BP917" s="78"/>
      <c r="BQ917" s="78"/>
      <c r="BR917" s="78"/>
      <c r="BS917" s="78"/>
      <c r="BT917" s="78"/>
      <c r="BU917" s="10"/>
      <c r="BV917" s="78"/>
      <c r="BW917" s="78"/>
      <c r="BX917" s="78"/>
      <c r="BY917" s="78"/>
      <c r="BZ917" s="78"/>
      <c r="CA917" s="78"/>
      <c r="CB917" s="78"/>
      <c r="CC917" s="78"/>
      <c r="CD917" s="78"/>
    </row>
    <row r="918">
      <c r="A918" s="10"/>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78"/>
      <c r="AY918" s="78"/>
      <c r="AZ918" s="78"/>
      <c r="BA918" s="78"/>
      <c r="BB918" s="78"/>
      <c r="BC918" s="78"/>
      <c r="BD918" s="78"/>
      <c r="BE918" s="78"/>
      <c r="BF918" s="78"/>
      <c r="BG918" s="78"/>
      <c r="BH918" s="78"/>
      <c r="BI918" s="78"/>
      <c r="BJ918" s="78"/>
      <c r="BK918" s="78"/>
      <c r="BL918" s="78"/>
      <c r="BM918" s="78"/>
      <c r="BN918" s="78"/>
      <c r="BO918" s="78"/>
      <c r="BP918" s="78"/>
      <c r="BQ918" s="78"/>
      <c r="BR918" s="78"/>
      <c r="BS918" s="78"/>
      <c r="BT918" s="78"/>
      <c r="BU918" s="10"/>
      <c r="BV918" s="78"/>
      <c r="BW918" s="78"/>
      <c r="BX918" s="78"/>
      <c r="BY918" s="78"/>
      <c r="BZ918" s="78"/>
      <c r="CA918" s="78"/>
      <c r="CB918" s="78"/>
      <c r="CC918" s="78"/>
      <c r="CD918" s="78"/>
    </row>
    <row r="919">
      <c r="A919" s="10"/>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78"/>
      <c r="AS919" s="78"/>
      <c r="AT919" s="78"/>
      <c r="AU919" s="78"/>
      <c r="AV919" s="78"/>
      <c r="AW919" s="78"/>
      <c r="AX919" s="78"/>
      <c r="AY919" s="78"/>
      <c r="AZ919" s="78"/>
      <c r="BA919" s="78"/>
      <c r="BB919" s="78"/>
      <c r="BC919" s="78"/>
      <c r="BD919" s="78"/>
      <c r="BE919" s="78"/>
      <c r="BF919" s="78"/>
      <c r="BG919" s="78"/>
      <c r="BH919" s="78"/>
      <c r="BI919" s="78"/>
      <c r="BJ919" s="78"/>
      <c r="BK919" s="78"/>
      <c r="BL919" s="78"/>
      <c r="BM919" s="78"/>
      <c r="BN919" s="78"/>
      <c r="BO919" s="78"/>
      <c r="BP919" s="78"/>
      <c r="BQ919" s="78"/>
      <c r="BR919" s="78"/>
      <c r="BS919" s="78"/>
      <c r="BT919" s="78"/>
      <c r="BU919" s="10"/>
      <c r="BV919" s="78"/>
      <c r="BW919" s="78"/>
      <c r="BX919" s="78"/>
      <c r="BY919" s="78"/>
      <c r="BZ919" s="78"/>
      <c r="CA919" s="78"/>
      <c r="CB919" s="78"/>
      <c r="CC919" s="78"/>
      <c r="CD919" s="78"/>
    </row>
    <row r="920">
      <c r="A920" s="10"/>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78"/>
      <c r="AY920" s="78"/>
      <c r="AZ920" s="78"/>
      <c r="BA920" s="78"/>
      <c r="BB920" s="78"/>
      <c r="BC920" s="78"/>
      <c r="BD920" s="78"/>
      <c r="BE920" s="78"/>
      <c r="BF920" s="78"/>
      <c r="BG920" s="78"/>
      <c r="BH920" s="78"/>
      <c r="BI920" s="78"/>
      <c r="BJ920" s="78"/>
      <c r="BK920" s="78"/>
      <c r="BL920" s="78"/>
      <c r="BM920" s="78"/>
      <c r="BN920" s="78"/>
      <c r="BO920" s="78"/>
      <c r="BP920" s="78"/>
      <c r="BQ920" s="78"/>
      <c r="BR920" s="78"/>
      <c r="BS920" s="78"/>
      <c r="BT920" s="78"/>
      <c r="BU920" s="10"/>
      <c r="BV920" s="78"/>
      <c r="BW920" s="78"/>
      <c r="BX920" s="78"/>
      <c r="BY920" s="78"/>
      <c r="BZ920" s="78"/>
      <c r="CA920" s="78"/>
      <c r="CB920" s="78"/>
      <c r="CC920" s="78"/>
      <c r="CD920" s="78"/>
    </row>
    <row r="921">
      <c r="A921" s="10"/>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78"/>
      <c r="AY921" s="78"/>
      <c r="AZ921" s="78"/>
      <c r="BA921" s="78"/>
      <c r="BB921" s="78"/>
      <c r="BC921" s="78"/>
      <c r="BD921" s="78"/>
      <c r="BE921" s="78"/>
      <c r="BF921" s="78"/>
      <c r="BG921" s="78"/>
      <c r="BH921" s="78"/>
      <c r="BI921" s="78"/>
      <c r="BJ921" s="78"/>
      <c r="BK921" s="78"/>
      <c r="BL921" s="78"/>
      <c r="BM921" s="78"/>
      <c r="BN921" s="78"/>
      <c r="BO921" s="78"/>
      <c r="BP921" s="78"/>
      <c r="BQ921" s="78"/>
      <c r="BR921" s="78"/>
      <c r="BS921" s="78"/>
      <c r="BT921" s="78"/>
      <c r="BU921" s="10"/>
      <c r="BV921" s="78"/>
      <c r="BW921" s="78"/>
      <c r="BX921" s="78"/>
      <c r="BY921" s="78"/>
      <c r="BZ921" s="78"/>
      <c r="CA921" s="78"/>
      <c r="CB921" s="78"/>
      <c r="CC921" s="78"/>
      <c r="CD921" s="78"/>
    </row>
    <row r="922">
      <c r="A922" s="10"/>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78"/>
      <c r="AY922" s="78"/>
      <c r="AZ922" s="78"/>
      <c r="BA922" s="78"/>
      <c r="BB922" s="78"/>
      <c r="BC922" s="78"/>
      <c r="BD922" s="78"/>
      <c r="BE922" s="78"/>
      <c r="BF922" s="78"/>
      <c r="BG922" s="78"/>
      <c r="BH922" s="78"/>
      <c r="BI922" s="78"/>
      <c r="BJ922" s="78"/>
      <c r="BK922" s="78"/>
      <c r="BL922" s="78"/>
      <c r="BM922" s="78"/>
      <c r="BN922" s="78"/>
      <c r="BO922" s="78"/>
      <c r="BP922" s="78"/>
      <c r="BQ922" s="78"/>
      <c r="BR922" s="78"/>
      <c r="BS922" s="78"/>
      <c r="BT922" s="78"/>
      <c r="BU922" s="10"/>
      <c r="BV922" s="78"/>
      <c r="BW922" s="78"/>
      <c r="BX922" s="78"/>
      <c r="BY922" s="78"/>
      <c r="BZ922" s="78"/>
      <c r="CA922" s="78"/>
      <c r="CB922" s="78"/>
      <c r="CC922" s="78"/>
      <c r="CD922" s="78"/>
    </row>
    <row r="923">
      <c r="A923" s="10"/>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78"/>
      <c r="AY923" s="78"/>
      <c r="AZ923" s="78"/>
      <c r="BA923" s="78"/>
      <c r="BB923" s="78"/>
      <c r="BC923" s="78"/>
      <c r="BD923" s="78"/>
      <c r="BE923" s="78"/>
      <c r="BF923" s="78"/>
      <c r="BG923" s="78"/>
      <c r="BH923" s="78"/>
      <c r="BI923" s="78"/>
      <c r="BJ923" s="78"/>
      <c r="BK923" s="78"/>
      <c r="BL923" s="78"/>
      <c r="BM923" s="78"/>
      <c r="BN923" s="78"/>
      <c r="BO923" s="78"/>
      <c r="BP923" s="78"/>
      <c r="BQ923" s="78"/>
      <c r="BR923" s="78"/>
      <c r="BS923" s="78"/>
      <c r="BT923" s="78"/>
      <c r="BU923" s="10"/>
      <c r="BV923" s="78"/>
      <c r="BW923" s="78"/>
      <c r="BX923" s="78"/>
      <c r="BY923" s="78"/>
      <c r="BZ923" s="78"/>
      <c r="CA923" s="78"/>
      <c r="CB923" s="78"/>
      <c r="CC923" s="78"/>
      <c r="CD923" s="78"/>
    </row>
    <row r="924">
      <c r="A924" s="10"/>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78"/>
      <c r="AY924" s="78"/>
      <c r="AZ924" s="78"/>
      <c r="BA924" s="78"/>
      <c r="BB924" s="78"/>
      <c r="BC924" s="78"/>
      <c r="BD924" s="78"/>
      <c r="BE924" s="78"/>
      <c r="BF924" s="78"/>
      <c r="BG924" s="78"/>
      <c r="BH924" s="78"/>
      <c r="BI924" s="78"/>
      <c r="BJ924" s="78"/>
      <c r="BK924" s="78"/>
      <c r="BL924" s="78"/>
      <c r="BM924" s="78"/>
      <c r="BN924" s="78"/>
      <c r="BO924" s="78"/>
      <c r="BP924" s="78"/>
      <c r="BQ924" s="78"/>
      <c r="BR924" s="78"/>
      <c r="BS924" s="78"/>
      <c r="BT924" s="78"/>
      <c r="BU924" s="10"/>
      <c r="BV924" s="78"/>
      <c r="BW924" s="78"/>
      <c r="BX924" s="78"/>
      <c r="BY924" s="78"/>
      <c r="BZ924" s="78"/>
      <c r="CA924" s="78"/>
      <c r="CB924" s="78"/>
      <c r="CC924" s="78"/>
      <c r="CD924" s="78"/>
    </row>
    <row r="925">
      <c r="A925" s="10"/>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78"/>
      <c r="AY925" s="78"/>
      <c r="AZ925" s="78"/>
      <c r="BA925" s="78"/>
      <c r="BB925" s="78"/>
      <c r="BC925" s="78"/>
      <c r="BD925" s="78"/>
      <c r="BE925" s="78"/>
      <c r="BF925" s="78"/>
      <c r="BG925" s="78"/>
      <c r="BH925" s="78"/>
      <c r="BI925" s="78"/>
      <c r="BJ925" s="78"/>
      <c r="BK925" s="78"/>
      <c r="BL925" s="78"/>
      <c r="BM925" s="78"/>
      <c r="BN925" s="78"/>
      <c r="BO925" s="78"/>
      <c r="BP925" s="78"/>
      <c r="BQ925" s="78"/>
      <c r="BR925" s="78"/>
      <c r="BS925" s="78"/>
      <c r="BT925" s="78"/>
      <c r="BU925" s="10"/>
      <c r="BV925" s="78"/>
      <c r="BW925" s="78"/>
      <c r="BX925" s="78"/>
      <c r="BY925" s="78"/>
      <c r="BZ925" s="78"/>
      <c r="CA925" s="78"/>
      <c r="CB925" s="78"/>
      <c r="CC925" s="78"/>
      <c r="CD925" s="78"/>
    </row>
    <row r="926">
      <c r="A926" s="10"/>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78"/>
      <c r="AS926" s="78"/>
      <c r="AT926" s="78"/>
      <c r="AU926" s="78"/>
      <c r="AV926" s="78"/>
      <c r="AW926" s="78"/>
      <c r="AX926" s="78"/>
      <c r="AY926" s="78"/>
      <c r="AZ926" s="78"/>
      <c r="BA926" s="78"/>
      <c r="BB926" s="78"/>
      <c r="BC926" s="78"/>
      <c r="BD926" s="78"/>
      <c r="BE926" s="78"/>
      <c r="BF926" s="78"/>
      <c r="BG926" s="78"/>
      <c r="BH926" s="78"/>
      <c r="BI926" s="78"/>
      <c r="BJ926" s="78"/>
      <c r="BK926" s="78"/>
      <c r="BL926" s="78"/>
      <c r="BM926" s="78"/>
      <c r="BN926" s="78"/>
      <c r="BO926" s="78"/>
      <c r="BP926" s="78"/>
      <c r="BQ926" s="78"/>
      <c r="BR926" s="78"/>
      <c r="BS926" s="78"/>
      <c r="BT926" s="78"/>
      <c r="BU926" s="10"/>
      <c r="BV926" s="78"/>
      <c r="BW926" s="78"/>
      <c r="BX926" s="78"/>
      <c r="BY926" s="78"/>
      <c r="BZ926" s="78"/>
      <c r="CA926" s="78"/>
      <c r="CB926" s="78"/>
      <c r="CC926" s="78"/>
      <c r="CD926" s="78"/>
    </row>
    <row r="927">
      <c r="A927" s="10"/>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78"/>
      <c r="AS927" s="78"/>
      <c r="AT927" s="78"/>
      <c r="AU927" s="78"/>
      <c r="AV927" s="78"/>
      <c r="AW927" s="78"/>
      <c r="AX927" s="78"/>
      <c r="AY927" s="78"/>
      <c r="AZ927" s="78"/>
      <c r="BA927" s="78"/>
      <c r="BB927" s="78"/>
      <c r="BC927" s="78"/>
      <c r="BD927" s="78"/>
      <c r="BE927" s="78"/>
      <c r="BF927" s="78"/>
      <c r="BG927" s="78"/>
      <c r="BH927" s="78"/>
      <c r="BI927" s="78"/>
      <c r="BJ927" s="78"/>
      <c r="BK927" s="78"/>
      <c r="BL927" s="78"/>
      <c r="BM927" s="78"/>
      <c r="BN927" s="78"/>
      <c r="BO927" s="78"/>
      <c r="BP927" s="78"/>
      <c r="BQ927" s="78"/>
      <c r="BR927" s="78"/>
      <c r="BS927" s="78"/>
      <c r="BT927" s="78"/>
      <c r="BU927" s="10"/>
      <c r="BV927" s="78"/>
      <c r="BW927" s="78"/>
      <c r="BX927" s="78"/>
      <c r="BY927" s="78"/>
      <c r="BZ927" s="78"/>
      <c r="CA927" s="78"/>
      <c r="CB927" s="78"/>
      <c r="CC927" s="78"/>
      <c r="CD927" s="78"/>
    </row>
    <row r="928">
      <c r="A928" s="10"/>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78"/>
      <c r="AS928" s="78"/>
      <c r="AT928" s="78"/>
      <c r="AU928" s="78"/>
      <c r="AV928" s="78"/>
      <c r="AW928" s="78"/>
      <c r="AX928" s="78"/>
      <c r="AY928" s="78"/>
      <c r="AZ928" s="78"/>
      <c r="BA928" s="78"/>
      <c r="BB928" s="78"/>
      <c r="BC928" s="78"/>
      <c r="BD928" s="78"/>
      <c r="BE928" s="78"/>
      <c r="BF928" s="78"/>
      <c r="BG928" s="78"/>
      <c r="BH928" s="78"/>
      <c r="BI928" s="78"/>
      <c r="BJ928" s="78"/>
      <c r="BK928" s="78"/>
      <c r="BL928" s="78"/>
      <c r="BM928" s="78"/>
      <c r="BN928" s="78"/>
      <c r="BO928" s="78"/>
      <c r="BP928" s="78"/>
      <c r="BQ928" s="78"/>
      <c r="BR928" s="78"/>
      <c r="BS928" s="78"/>
      <c r="BT928" s="78"/>
      <c r="BU928" s="10"/>
      <c r="BV928" s="78"/>
      <c r="BW928" s="78"/>
      <c r="BX928" s="78"/>
      <c r="BY928" s="78"/>
      <c r="BZ928" s="78"/>
      <c r="CA928" s="78"/>
      <c r="CB928" s="78"/>
      <c r="CC928" s="78"/>
      <c r="CD928" s="78"/>
    </row>
    <row r="929">
      <c r="A929" s="10"/>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78"/>
      <c r="AY929" s="78"/>
      <c r="AZ929" s="78"/>
      <c r="BA929" s="78"/>
      <c r="BB929" s="78"/>
      <c r="BC929" s="78"/>
      <c r="BD929" s="78"/>
      <c r="BE929" s="78"/>
      <c r="BF929" s="78"/>
      <c r="BG929" s="78"/>
      <c r="BH929" s="78"/>
      <c r="BI929" s="78"/>
      <c r="BJ929" s="78"/>
      <c r="BK929" s="78"/>
      <c r="BL929" s="78"/>
      <c r="BM929" s="78"/>
      <c r="BN929" s="78"/>
      <c r="BO929" s="78"/>
      <c r="BP929" s="78"/>
      <c r="BQ929" s="78"/>
      <c r="BR929" s="78"/>
      <c r="BS929" s="78"/>
      <c r="BT929" s="78"/>
      <c r="BU929" s="10"/>
      <c r="BV929" s="78"/>
      <c r="BW929" s="78"/>
      <c r="BX929" s="78"/>
      <c r="BY929" s="78"/>
      <c r="BZ929" s="78"/>
      <c r="CA929" s="78"/>
      <c r="CB929" s="78"/>
      <c r="CC929" s="78"/>
      <c r="CD929" s="78"/>
    </row>
    <row r="930">
      <c r="A930" s="10"/>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78"/>
      <c r="AS930" s="78"/>
      <c r="AT930" s="78"/>
      <c r="AU930" s="78"/>
      <c r="AV930" s="78"/>
      <c r="AW930" s="78"/>
      <c r="AX930" s="78"/>
      <c r="AY930" s="78"/>
      <c r="AZ930" s="78"/>
      <c r="BA930" s="78"/>
      <c r="BB930" s="78"/>
      <c r="BC930" s="78"/>
      <c r="BD930" s="78"/>
      <c r="BE930" s="78"/>
      <c r="BF930" s="78"/>
      <c r="BG930" s="78"/>
      <c r="BH930" s="78"/>
      <c r="BI930" s="78"/>
      <c r="BJ930" s="78"/>
      <c r="BK930" s="78"/>
      <c r="BL930" s="78"/>
      <c r="BM930" s="78"/>
      <c r="BN930" s="78"/>
      <c r="BO930" s="78"/>
      <c r="BP930" s="78"/>
      <c r="BQ930" s="78"/>
      <c r="BR930" s="78"/>
      <c r="BS930" s="78"/>
      <c r="BT930" s="78"/>
      <c r="BU930" s="10"/>
      <c r="BV930" s="78"/>
      <c r="BW930" s="78"/>
      <c r="BX930" s="78"/>
      <c r="BY930" s="78"/>
      <c r="BZ930" s="78"/>
      <c r="CA930" s="78"/>
      <c r="CB930" s="78"/>
      <c r="CC930" s="78"/>
      <c r="CD930" s="78"/>
    </row>
    <row r="931">
      <c r="A931" s="10"/>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78"/>
      <c r="AS931" s="78"/>
      <c r="AT931" s="78"/>
      <c r="AU931" s="78"/>
      <c r="AV931" s="78"/>
      <c r="AW931" s="78"/>
      <c r="AX931" s="78"/>
      <c r="AY931" s="78"/>
      <c r="AZ931" s="78"/>
      <c r="BA931" s="78"/>
      <c r="BB931" s="78"/>
      <c r="BC931" s="78"/>
      <c r="BD931" s="78"/>
      <c r="BE931" s="78"/>
      <c r="BF931" s="78"/>
      <c r="BG931" s="78"/>
      <c r="BH931" s="78"/>
      <c r="BI931" s="78"/>
      <c r="BJ931" s="78"/>
      <c r="BK931" s="78"/>
      <c r="BL931" s="78"/>
      <c r="BM931" s="78"/>
      <c r="BN931" s="78"/>
      <c r="BO931" s="78"/>
      <c r="BP931" s="78"/>
      <c r="BQ931" s="78"/>
      <c r="BR931" s="78"/>
      <c r="BS931" s="78"/>
      <c r="BT931" s="78"/>
      <c r="BU931" s="10"/>
      <c r="BV931" s="78"/>
      <c r="BW931" s="78"/>
      <c r="BX931" s="78"/>
      <c r="BY931" s="78"/>
      <c r="BZ931" s="78"/>
      <c r="CA931" s="78"/>
      <c r="CB931" s="78"/>
      <c r="CC931" s="78"/>
      <c r="CD931" s="78"/>
    </row>
    <row r="932">
      <c r="A932" s="10"/>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78"/>
      <c r="AY932" s="78"/>
      <c r="AZ932" s="78"/>
      <c r="BA932" s="78"/>
      <c r="BB932" s="78"/>
      <c r="BC932" s="78"/>
      <c r="BD932" s="78"/>
      <c r="BE932" s="78"/>
      <c r="BF932" s="78"/>
      <c r="BG932" s="78"/>
      <c r="BH932" s="78"/>
      <c r="BI932" s="78"/>
      <c r="BJ932" s="78"/>
      <c r="BK932" s="78"/>
      <c r="BL932" s="78"/>
      <c r="BM932" s="78"/>
      <c r="BN932" s="78"/>
      <c r="BO932" s="78"/>
      <c r="BP932" s="78"/>
      <c r="BQ932" s="78"/>
      <c r="BR932" s="78"/>
      <c r="BS932" s="78"/>
      <c r="BT932" s="78"/>
      <c r="BU932" s="10"/>
      <c r="BV932" s="78"/>
      <c r="BW932" s="78"/>
      <c r="BX932" s="78"/>
      <c r="BY932" s="78"/>
      <c r="BZ932" s="78"/>
      <c r="CA932" s="78"/>
      <c r="CB932" s="78"/>
      <c r="CC932" s="78"/>
      <c r="CD932" s="78"/>
    </row>
    <row r="933">
      <c r="A933" s="10"/>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78"/>
      <c r="AY933" s="78"/>
      <c r="AZ933" s="78"/>
      <c r="BA933" s="78"/>
      <c r="BB933" s="78"/>
      <c r="BC933" s="78"/>
      <c r="BD933" s="78"/>
      <c r="BE933" s="78"/>
      <c r="BF933" s="78"/>
      <c r="BG933" s="78"/>
      <c r="BH933" s="78"/>
      <c r="BI933" s="78"/>
      <c r="BJ933" s="78"/>
      <c r="BK933" s="78"/>
      <c r="BL933" s="78"/>
      <c r="BM933" s="78"/>
      <c r="BN933" s="78"/>
      <c r="BO933" s="78"/>
      <c r="BP933" s="78"/>
      <c r="BQ933" s="78"/>
      <c r="BR933" s="78"/>
      <c r="BS933" s="78"/>
      <c r="BT933" s="78"/>
      <c r="BU933" s="10"/>
      <c r="BV933" s="78"/>
      <c r="BW933" s="78"/>
      <c r="BX933" s="78"/>
      <c r="BY933" s="78"/>
      <c r="BZ933" s="78"/>
      <c r="CA933" s="78"/>
      <c r="CB933" s="78"/>
      <c r="CC933" s="78"/>
      <c r="CD933" s="78"/>
    </row>
    <row r="934">
      <c r="A934" s="10"/>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78"/>
      <c r="AY934" s="78"/>
      <c r="AZ934" s="78"/>
      <c r="BA934" s="78"/>
      <c r="BB934" s="78"/>
      <c r="BC934" s="78"/>
      <c r="BD934" s="78"/>
      <c r="BE934" s="78"/>
      <c r="BF934" s="78"/>
      <c r="BG934" s="78"/>
      <c r="BH934" s="78"/>
      <c r="BI934" s="78"/>
      <c r="BJ934" s="78"/>
      <c r="BK934" s="78"/>
      <c r="BL934" s="78"/>
      <c r="BM934" s="78"/>
      <c r="BN934" s="78"/>
      <c r="BO934" s="78"/>
      <c r="BP934" s="78"/>
      <c r="BQ934" s="78"/>
      <c r="BR934" s="78"/>
      <c r="BS934" s="78"/>
      <c r="BT934" s="78"/>
      <c r="BU934" s="10"/>
      <c r="BV934" s="78"/>
      <c r="BW934" s="78"/>
      <c r="BX934" s="78"/>
      <c r="BY934" s="78"/>
      <c r="BZ934" s="78"/>
      <c r="CA934" s="78"/>
      <c r="CB934" s="78"/>
      <c r="CC934" s="78"/>
      <c r="CD934" s="78"/>
    </row>
    <row r="935">
      <c r="A935" s="10"/>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78"/>
      <c r="AY935" s="78"/>
      <c r="AZ935" s="78"/>
      <c r="BA935" s="78"/>
      <c r="BB935" s="78"/>
      <c r="BC935" s="78"/>
      <c r="BD935" s="78"/>
      <c r="BE935" s="78"/>
      <c r="BF935" s="78"/>
      <c r="BG935" s="78"/>
      <c r="BH935" s="78"/>
      <c r="BI935" s="78"/>
      <c r="BJ935" s="78"/>
      <c r="BK935" s="78"/>
      <c r="BL935" s="78"/>
      <c r="BM935" s="78"/>
      <c r="BN935" s="78"/>
      <c r="BO935" s="78"/>
      <c r="BP935" s="78"/>
      <c r="BQ935" s="78"/>
      <c r="BR935" s="78"/>
      <c r="BS935" s="78"/>
      <c r="BT935" s="78"/>
      <c r="BU935" s="10"/>
      <c r="BV935" s="78"/>
      <c r="BW935" s="78"/>
      <c r="BX935" s="78"/>
      <c r="BY935" s="78"/>
      <c r="BZ935" s="78"/>
      <c r="CA935" s="78"/>
      <c r="CB935" s="78"/>
      <c r="CC935" s="78"/>
      <c r="CD935" s="78"/>
    </row>
    <row r="936">
      <c r="A936" s="10"/>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78"/>
      <c r="AY936" s="78"/>
      <c r="AZ936" s="78"/>
      <c r="BA936" s="78"/>
      <c r="BB936" s="78"/>
      <c r="BC936" s="78"/>
      <c r="BD936" s="78"/>
      <c r="BE936" s="78"/>
      <c r="BF936" s="78"/>
      <c r="BG936" s="78"/>
      <c r="BH936" s="78"/>
      <c r="BI936" s="78"/>
      <c r="BJ936" s="78"/>
      <c r="BK936" s="78"/>
      <c r="BL936" s="78"/>
      <c r="BM936" s="78"/>
      <c r="BN936" s="78"/>
      <c r="BO936" s="78"/>
      <c r="BP936" s="78"/>
      <c r="BQ936" s="78"/>
      <c r="BR936" s="78"/>
      <c r="BS936" s="78"/>
      <c r="BT936" s="78"/>
      <c r="BU936" s="10"/>
      <c r="BV936" s="78"/>
      <c r="BW936" s="78"/>
      <c r="BX936" s="78"/>
      <c r="BY936" s="78"/>
      <c r="BZ936" s="78"/>
      <c r="CA936" s="78"/>
      <c r="CB936" s="78"/>
      <c r="CC936" s="78"/>
      <c r="CD936" s="78"/>
    </row>
    <row r="937">
      <c r="A937" s="10"/>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78"/>
      <c r="AS937" s="78"/>
      <c r="AT937" s="78"/>
      <c r="AU937" s="78"/>
      <c r="AV937" s="78"/>
      <c r="AW937" s="78"/>
      <c r="AX937" s="78"/>
      <c r="AY937" s="78"/>
      <c r="AZ937" s="78"/>
      <c r="BA937" s="78"/>
      <c r="BB937" s="78"/>
      <c r="BC937" s="78"/>
      <c r="BD937" s="78"/>
      <c r="BE937" s="78"/>
      <c r="BF937" s="78"/>
      <c r="BG937" s="78"/>
      <c r="BH937" s="78"/>
      <c r="BI937" s="78"/>
      <c r="BJ937" s="78"/>
      <c r="BK937" s="78"/>
      <c r="BL937" s="78"/>
      <c r="BM937" s="78"/>
      <c r="BN937" s="78"/>
      <c r="BO937" s="78"/>
      <c r="BP937" s="78"/>
      <c r="BQ937" s="78"/>
      <c r="BR937" s="78"/>
      <c r="BS937" s="78"/>
      <c r="BT937" s="78"/>
      <c r="BU937" s="10"/>
      <c r="BV937" s="78"/>
      <c r="BW937" s="78"/>
      <c r="BX937" s="78"/>
      <c r="BY937" s="78"/>
      <c r="BZ937" s="78"/>
      <c r="CA937" s="78"/>
      <c r="CB937" s="78"/>
      <c r="CC937" s="78"/>
      <c r="CD937" s="78"/>
    </row>
    <row r="938">
      <c r="A938" s="10"/>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78"/>
      <c r="AS938" s="78"/>
      <c r="AT938" s="78"/>
      <c r="AU938" s="78"/>
      <c r="AV938" s="78"/>
      <c r="AW938" s="78"/>
      <c r="AX938" s="78"/>
      <c r="AY938" s="78"/>
      <c r="AZ938" s="78"/>
      <c r="BA938" s="78"/>
      <c r="BB938" s="78"/>
      <c r="BC938" s="78"/>
      <c r="BD938" s="78"/>
      <c r="BE938" s="78"/>
      <c r="BF938" s="78"/>
      <c r="BG938" s="78"/>
      <c r="BH938" s="78"/>
      <c r="BI938" s="78"/>
      <c r="BJ938" s="78"/>
      <c r="BK938" s="78"/>
      <c r="BL938" s="78"/>
      <c r="BM938" s="78"/>
      <c r="BN938" s="78"/>
      <c r="BO938" s="78"/>
      <c r="BP938" s="78"/>
      <c r="BQ938" s="78"/>
      <c r="BR938" s="78"/>
      <c r="BS938" s="78"/>
      <c r="BT938" s="78"/>
      <c r="BU938" s="10"/>
      <c r="BV938" s="78"/>
      <c r="BW938" s="78"/>
      <c r="BX938" s="78"/>
      <c r="BY938" s="78"/>
      <c r="BZ938" s="78"/>
      <c r="CA938" s="78"/>
      <c r="CB938" s="78"/>
      <c r="CC938" s="78"/>
      <c r="CD938" s="78"/>
    </row>
    <row r="939">
      <c r="A939" s="10"/>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78"/>
      <c r="AY939" s="78"/>
      <c r="AZ939" s="78"/>
      <c r="BA939" s="78"/>
      <c r="BB939" s="78"/>
      <c r="BC939" s="78"/>
      <c r="BD939" s="78"/>
      <c r="BE939" s="78"/>
      <c r="BF939" s="78"/>
      <c r="BG939" s="78"/>
      <c r="BH939" s="78"/>
      <c r="BI939" s="78"/>
      <c r="BJ939" s="78"/>
      <c r="BK939" s="78"/>
      <c r="BL939" s="78"/>
      <c r="BM939" s="78"/>
      <c r="BN939" s="78"/>
      <c r="BO939" s="78"/>
      <c r="BP939" s="78"/>
      <c r="BQ939" s="78"/>
      <c r="BR939" s="78"/>
      <c r="BS939" s="78"/>
      <c r="BT939" s="78"/>
      <c r="BU939" s="10"/>
      <c r="BV939" s="78"/>
      <c r="BW939" s="78"/>
      <c r="BX939" s="78"/>
      <c r="BY939" s="78"/>
      <c r="BZ939" s="78"/>
      <c r="CA939" s="78"/>
      <c r="CB939" s="78"/>
      <c r="CC939" s="78"/>
      <c r="CD939" s="78"/>
    </row>
    <row r="940">
      <c r="A940" s="10"/>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78"/>
      <c r="AY940" s="78"/>
      <c r="AZ940" s="78"/>
      <c r="BA940" s="78"/>
      <c r="BB940" s="78"/>
      <c r="BC940" s="78"/>
      <c r="BD940" s="78"/>
      <c r="BE940" s="78"/>
      <c r="BF940" s="78"/>
      <c r="BG940" s="78"/>
      <c r="BH940" s="78"/>
      <c r="BI940" s="78"/>
      <c r="BJ940" s="78"/>
      <c r="BK940" s="78"/>
      <c r="BL940" s="78"/>
      <c r="BM940" s="78"/>
      <c r="BN940" s="78"/>
      <c r="BO940" s="78"/>
      <c r="BP940" s="78"/>
      <c r="BQ940" s="78"/>
      <c r="BR940" s="78"/>
      <c r="BS940" s="78"/>
      <c r="BT940" s="78"/>
      <c r="BU940" s="10"/>
      <c r="BV940" s="78"/>
      <c r="BW940" s="78"/>
      <c r="BX940" s="78"/>
      <c r="BY940" s="78"/>
      <c r="BZ940" s="78"/>
      <c r="CA940" s="78"/>
      <c r="CB940" s="78"/>
      <c r="CC940" s="78"/>
      <c r="CD940" s="78"/>
    </row>
    <row r="941">
      <c r="A941" s="10"/>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78"/>
      <c r="AY941" s="78"/>
      <c r="AZ941" s="78"/>
      <c r="BA941" s="78"/>
      <c r="BB941" s="78"/>
      <c r="BC941" s="78"/>
      <c r="BD941" s="78"/>
      <c r="BE941" s="78"/>
      <c r="BF941" s="78"/>
      <c r="BG941" s="78"/>
      <c r="BH941" s="78"/>
      <c r="BI941" s="78"/>
      <c r="BJ941" s="78"/>
      <c r="BK941" s="78"/>
      <c r="BL941" s="78"/>
      <c r="BM941" s="78"/>
      <c r="BN941" s="78"/>
      <c r="BO941" s="78"/>
      <c r="BP941" s="78"/>
      <c r="BQ941" s="78"/>
      <c r="BR941" s="78"/>
      <c r="BS941" s="78"/>
      <c r="BT941" s="78"/>
      <c r="BU941" s="10"/>
      <c r="BV941" s="78"/>
      <c r="BW941" s="78"/>
      <c r="BX941" s="78"/>
      <c r="BY941" s="78"/>
      <c r="BZ941" s="78"/>
      <c r="CA941" s="78"/>
      <c r="CB941" s="78"/>
      <c r="CC941" s="78"/>
      <c r="CD941" s="78"/>
    </row>
    <row r="942">
      <c r="A942" s="10"/>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78"/>
      <c r="AY942" s="78"/>
      <c r="AZ942" s="78"/>
      <c r="BA942" s="78"/>
      <c r="BB942" s="78"/>
      <c r="BC942" s="78"/>
      <c r="BD942" s="78"/>
      <c r="BE942" s="78"/>
      <c r="BF942" s="78"/>
      <c r="BG942" s="78"/>
      <c r="BH942" s="78"/>
      <c r="BI942" s="78"/>
      <c r="BJ942" s="78"/>
      <c r="BK942" s="78"/>
      <c r="BL942" s="78"/>
      <c r="BM942" s="78"/>
      <c r="BN942" s="78"/>
      <c r="BO942" s="78"/>
      <c r="BP942" s="78"/>
      <c r="BQ942" s="78"/>
      <c r="BR942" s="78"/>
      <c r="BS942" s="78"/>
      <c r="BT942" s="78"/>
      <c r="BU942" s="10"/>
      <c r="BV942" s="78"/>
      <c r="BW942" s="78"/>
      <c r="BX942" s="78"/>
      <c r="BY942" s="78"/>
      <c r="BZ942" s="78"/>
      <c r="CA942" s="78"/>
      <c r="CB942" s="78"/>
      <c r="CC942" s="78"/>
      <c r="CD942" s="78"/>
    </row>
    <row r="943">
      <c r="A943" s="10"/>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78"/>
      <c r="AY943" s="78"/>
      <c r="AZ943" s="78"/>
      <c r="BA943" s="78"/>
      <c r="BB943" s="78"/>
      <c r="BC943" s="78"/>
      <c r="BD943" s="78"/>
      <c r="BE943" s="78"/>
      <c r="BF943" s="78"/>
      <c r="BG943" s="78"/>
      <c r="BH943" s="78"/>
      <c r="BI943" s="78"/>
      <c r="BJ943" s="78"/>
      <c r="BK943" s="78"/>
      <c r="BL943" s="78"/>
      <c r="BM943" s="78"/>
      <c r="BN943" s="78"/>
      <c r="BO943" s="78"/>
      <c r="BP943" s="78"/>
      <c r="BQ943" s="78"/>
      <c r="BR943" s="78"/>
      <c r="BS943" s="78"/>
      <c r="BT943" s="78"/>
      <c r="BU943" s="10"/>
      <c r="BV943" s="78"/>
      <c r="BW943" s="78"/>
      <c r="BX943" s="78"/>
      <c r="BY943" s="78"/>
      <c r="BZ943" s="78"/>
      <c r="CA943" s="78"/>
      <c r="CB943" s="78"/>
      <c r="CC943" s="78"/>
      <c r="CD943" s="78"/>
    </row>
    <row r="944">
      <c r="A944" s="10"/>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78"/>
      <c r="AY944" s="78"/>
      <c r="AZ944" s="78"/>
      <c r="BA944" s="78"/>
      <c r="BB944" s="78"/>
      <c r="BC944" s="78"/>
      <c r="BD944" s="78"/>
      <c r="BE944" s="78"/>
      <c r="BF944" s="78"/>
      <c r="BG944" s="78"/>
      <c r="BH944" s="78"/>
      <c r="BI944" s="78"/>
      <c r="BJ944" s="78"/>
      <c r="BK944" s="78"/>
      <c r="BL944" s="78"/>
      <c r="BM944" s="78"/>
      <c r="BN944" s="78"/>
      <c r="BO944" s="78"/>
      <c r="BP944" s="78"/>
      <c r="BQ944" s="78"/>
      <c r="BR944" s="78"/>
      <c r="BS944" s="78"/>
      <c r="BT944" s="78"/>
      <c r="BU944" s="10"/>
      <c r="BV944" s="78"/>
      <c r="BW944" s="78"/>
      <c r="BX944" s="78"/>
      <c r="BY944" s="78"/>
      <c r="BZ944" s="78"/>
      <c r="CA944" s="78"/>
      <c r="CB944" s="78"/>
      <c r="CC944" s="78"/>
      <c r="CD944" s="78"/>
    </row>
    <row r="945">
      <c r="A945" s="10"/>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78"/>
      <c r="AY945" s="78"/>
      <c r="AZ945" s="78"/>
      <c r="BA945" s="78"/>
      <c r="BB945" s="78"/>
      <c r="BC945" s="78"/>
      <c r="BD945" s="78"/>
      <c r="BE945" s="78"/>
      <c r="BF945" s="78"/>
      <c r="BG945" s="78"/>
      <c r="BH945" s="78"/>
      <c r="BI945" s="78"/>
      <c r="BJ945" s="78"/>
      <c r="BK945" s="78"/>
      <c r="BL945" s="78"/>
      <c r="BM945" s="78"/>
      <c r="BN945" s="78"/>
      <c r="BO945" s="78"/>
      <c r="BP945" s="78"/>
      <c r="BQ945" s="78"/>
      <c r="BR945" s="78"/>
      <c r="BS945" s="78"/>
      <c r="BT945" s="78"/>
      <c r="BU945" s="10"/>
      <c r="BV945" s="78"/>
      <c r="BW945" s="78"/>
      <c r="BX945" s="78"/>
      <c r="BY945" s="78"/>
      <c r="BZ945" s="78"/>
      <c r="CA945" s="78"/>
      <c r="CB945" s="78"/>
      <c r="CC945" s="78"/>
      <c r="CD945" s="78"/>
    </row>
    <row r="946">
      <c r="A946" s="10"/>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78"/>
      <c r="AY946" s="78"/>
      <c r="AZ946" s="78"/>
      <c r="BA946" s="78"/>
      <c r="BB946" s="78"/>
      <c r="BC946" s="78"/>
      <c r="BD946" s="78"/>
      <c r="BE946" s="78"/>
      <c r="BF946" s="78"/>
      <c r="BG946" s="78"/>
      <c r="BH946" s="78"/>
      <c r="BI946" s="78"/>
      <c r="BJ946" s="78"/>
      <c r="BK946" s="78"/>
      <c r="BL946" s="78"/>
      <c r="BM946" s="78"/>
      <c r="BN946" s="78"/>
      <c r="BO946" s="78"/>
      <c r="BP946" s="78"/>
      <c r="BQ946" s="78"/>
      <c r="BR946" s="78"/>
      <c r="BS946" s="78"/>
      <c r="BT946" s="78"/>
      <c r="BU946" s="10"/>
      <c r="BV946" s="78"/>
      <c r="BW946" s="78"/>
      <c r="BX946" s="78"/>
      <c r="BY946" s="78"/>
      <c r="BZ946" s="78"/>
      <c r="CA946" s="78"/>
      <c r="CB946" s="78"/>
      <c r="CC946" s="78"/>
      <c r="CD946" s="78"/>
    </row>
    <row r="947">
      <c r="A947" s="10"/>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78"/>
      <c r="AY947" s="78"/>
      <c r="AZ947" s="78"/>
      <c r="BA947" s="78"/>
      <c r="BB947" s="78"/>
      <c r="BC947" s="78"/>
      <c r="BD947" s="78"/>
      <c r="BE947" s="78"/>
      <c r="BF947" s="78"/>
      <c r="BG947" s="78"/>
      <c r="BH947" s="78"/>
      <c r="BI947" s="78"/>
      <c r="BJ947" s="78"/>
      <c r="BK947" s="78"/>
      <c r="BL947" s="78"/>
      <c r="BM947" s="78"/>
      <c r="BN947" s="78"/>
      <c r="BO947" s="78"/>
      <c r="BP947" s="78"/>
      <c r="BQ947" s="78"/>
      <c r="BR947" s="78"/>
      <c r="BS947" s="78"/>
      <c r="BT947" s="78"/>
      <c r="BU947" s="10"/>
      <c r="BV947" s="78"/>
      <c r="BW947" s="78"/>
      <c r="BX947" s="78"/>
      <c r="BY947" s="78"/>
      <c r="BZ947" s="78"/>
      <c r="CA947" s="78"/>
      <c r="CB947" s="78"/>
      <c r="CC947" s="78"/>
      <c r="CD947" s="78"/>
    </row>
    <row r="948">
      <c r="A948" s="10"/>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78"/>
      <c r="AS948" s="78"/>
      <c r="AT948" s="78"/>
      <c r="AU948" s="78"/>
      <c r="AV948" s="78"/>
      <c r="AW948" s="78"/>
      <c r="AX948" s="78"/>
      <c r="AY948" s="78"/>
      <c r="AZ948" s="78"/>
      <c r="BA948" s="78"/>
      <c r="BB948" s="78"/>
      <c r="BC948" s="78"/>
      <c r="BD948" s="78"/>
      <c r="BE948" s="78"/>
      <c r="BF948" s="78"/>
      <c r="BG948" s="78"/>
      <c r="BH948" s="78"/>
      <c r="BI948" s="78"/>
      <c r="BJ948" s="78"/>
      <c r="BK948" s="78"/>
      <c r="BL948" s="78"/>
      <c r="BM948" s="78"/>
      <c r="BN948" s="78"/>
      <c r="BO948" s="78"/>
      <c r="BP948" s="78"/>
      <c r="BQ948" s="78"/>
      <c r="BR948" s="78"/>
      <c r="BS948" s="78"/>
      <c r="BT948" s="78"/>
      <c r="BU948" s="10"/>
      <c r="BV948" s="78"/>
      <c r="BW948" s="78"/>
      <c r="BX948" s="78"/>
      <c r="BY948" s="78"/>
      <c r="BZ948" s="78"/>
      <c r="CA948" s="78"/>
      <c r="CB948" s="78"/>
      <c r="CC948" s="78"/>
      <c r="CD948" s="78"/>
    </row>
    <row r="949">
      <c r="A949" s="10"/>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78"/>
      <c r="AY949" s="78"/>
      <c r="AZ949" s="78"/>
      <c r="BA949" s="78"/>
      <c r="BB949" s="78"/>
      <c r="BC949" s="78"/>
      <c r="BD949" s="78"/>
      <c r="BE949" s="78"/>
      <c r="BF949" s="78"/>
      <c r="BG949" s="78"/>
      <c r="BH949" s="78"/>
      <c r="BI949" s="78"/>
      <c r="BJ949" s="78"/>
      <c r="BK949" s="78"/>
      <c r="BL949" s="78"/>
      <c r="BM949" s="78"/>
      <c r="BN949" s="78"/>
      <c r="BO949" s="78"/>
      <c r="BP949" s="78"/>
      <c r="BQ949" s="78"/>
      <c r="BR949" s="78"/>
      <c r="BS949" s="78"/>
      <c r="BT949" s="78"/>
      <c r="BU949" s="10"/>
      <c r="BV949" s="78"/>
      <c r="BW949" s="78"/>
      <c r="BX949" s="78"/>
      <c r="BY949" s="78"/>
      <c r="BZ949" s="78"/>
      <c r="CA949" s="78"/>
      <c r="CB949" s="78"/>
      <c r="CC949" s="78"/>
      <c r="CD949" s="78"/>
    </row>
    <row r="950">
      <c r="A950" s="10"/>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78"/>
      <c r="AS950" s="78"/>
      <c r="AT950" s="78"/>
      <c r="AU950" s="78"/>
      <c r="AV950" s="78"/>
      <c r="AW950" s="78"/>
      <c r="AX950" s="78"/>
      <c r="AY950" s="78"/>
      <c r="AZ950" s="78"/>
      <c r="BA950" s="78"/>
      <c r="BB950" s="78"/>
      <c r="BC950" s="78"/>
      <c r="BD950" s="78"/>
      <c r="BE950" s="78"/>
      <c r="BF950" s="78"/>
      <c r="BG950" s="78"/>
      <c r="BH950" s="78"/>
      <c r="BI950" s="78"/>
      <c r="BJ950" s="78"/>
      <c r="BK950" s="78"/>
      <c r="BL950" s="78"/>
      <c r="BM950" s="78"/>
      <c r="BN950" s="78"/>
      <c r="BO950" s="78"/>
      <c r="BP950" s="78"/>
      <c r="BQ950" s="78"/>
      <c r="BR950" s="78"/>
      <c r="BS950" s="78"/>
      <c r="BT950" s="78"/>
      <c r="BU950" s="10"/>
      <c r="BV950" s="78"/>
      <c r="BW950" s="78"/>
      <c r="BX950" s="78"/>
      <c r="BY950" s="78"/>
      <c r="BZ950" s="78"/>
      <c r="CA950" s="78"/>
      <c r="CB950" s="78"/>
      <c r="CC950" s="78"/>
      <c r="CD950" s="78"/>
    </row>
    <row r="951">
      <c r="A951" s="10"/>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78"/>
      <c r="AS951" s="78"/>
      <c r="AT951" s="78"/>
      <c r="AU951" s="78"/>
      <c r="AV951" s="78"/>
      <c r="AW951" s="78"/>
      <c r="AX951" s="78"/>
      <c r="AY951" s="78"/>
      <c r="AZ951" s="78"/>
      <c r="BA951" s="78"/>
      <c r="BB951" s="78"/>
      <c r="BC951" s="78"/>
      <c r="BD951" s="78"/>
      <c r="BE951" s="78"/>
      <c r="BF951" s="78"/>
      <c r="BG951" s="78"/>
      <c r="BH951" s="78"/>
      <c r="BI951" s="78"/>
      <c r="BJ951" s="78"/>
      <c r="BK951" s="78"/>
      <c r="BL951" s="78"/>
      <c r="BM951" s="78"/>
      <c r="BN951" s="78"/>
      <c r="BO951" s="78"/>
      <c r="BP951" s="78"/>
      <c r="BQ951" s="78"/>
      <c r="BR951" s="78"/>
      <c r="BS951" s="78"/>
      <c r="BT951" s="78"/>
      <c r="BU951" s="10"/>
      <c r="BV951" s="78"/>
      <c r="BW951" s="78"/>
      <c r="BX951" s="78"/>
      <c r="BY951" s="78"/>
      <c r="BZ951" s="78"/>
      <c r="CA951" s="78"/>
      <c r="CB951" s="78"/>
      <c r="CC951" s="78"/>
      <c r="CD951" s="78"/>
    </row>
    <row r="952">
      <c r="A952" s="10"/>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78"/>
      <c r="AY952" s="78"/>
      <c r="AZ952" s="78"/>
      <c r="BA952" s="78"/>
      <c r="BB952" s="78"/>
      <c r="BC952" s="78"/>
      <c r="BD952" s="78"/>
      <c r="BE952" s="78"/>
      <c r="BF952" s="78"/>
      <c r="BG952" s="78"/>
      <c r="BH952" s="78"/>
      <c r="BI952" s="78"/>
      <c r="BJ952" s="78"/>
      <c r="BK952" s="78"/>
      <c r="BL952" s="78"/>
      <c r="BM952" s="78"/>
      <c r="BN952" s="78"/>
      <c r="BO952" s="78"/>
      <c r="BP952" s="78"/>
      <c r="BQ952" s="78"/>
      <c r="BR952" s="78"/>
      <c r="BS952" s="78"/>
      <c r="BT952" s="78"/>
      <c r="BU952" s="10"/>
      <c r="BV952" s="78"/>
      <c r="BW952" s="78"/>
      <c r="BX952" s="78"/>
      <c r="BY952" s="78"/>
      <c r="BZ952" s="78"/>
      <c r="CA952" s="78"/>
      <c r="CB952" s="78"/>
      <c r="CC952" s="78"/>
      <c r="CD952" s="78"/>
    </row>
    <row r="953">
      <c r="A953" s="10"/>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78"/>
      <c r="AY953" s="78"/>
      <c r="AZ953" s="78"/>
      <c r="BA953" s="78"/>
      <c r="BB953" s="78"/>
      <c r="BC953" s="78"/>
      <c r="BD953" s="78"/>
      <c r="BE953" s="78"/>
      <c r="BF953" s="78"/>
      <c r="BG953" s="78"/>
      <c r="BH953" s="78"/>
      <c r="BI953" s="78"/>
      <c r="BJ953" s="78"/>
      <c r="BK953" s="78"/>
      <c r="BL953" s="78"/>
      <c r="BM953" s="78"/>
      <c r="BN953" s="78"/>
      <c r="BO953" s="78"/>
      <c r="BP953" s="78"/>
      <c r="BQ953" s="78"/>
      <c r="BR953" s="78"/>
      <c r="BS953" s="78"/>
      <c r="BT953" s="78"/>
      <c r="BU953" s="10"/>
      <c r="BV953" s="78"/>
      <c r="BW953" s="78"/>
      <c r="BX953" s="78"/>
      <c r="BY953" s="78"/>
      <c r="BZ953" s="78"/>
      <c r="CA953" s="78"/>
      <c r="CB953" s="78"/>
      <c r="CC953" s="78"/>
      <c r="CD953" s="78"/>
    </row>
    <row r="954">
      <c r="A954" s="10"/>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78"/>
      <c r="AY954" s="78"/>
      <c r="AZ954" s="78"/>
      <c r="BA954" s="78"/>
      <c r="BB954" s="78"/>
      <c r="BC954" s="78"/>
      <c r="BD954" s="78"/>
      <c r="BE954" s="78"/>
      <c r="BF954" s="78"/>
      <c r="BG954" s="78"/>
      <c r="BH954" s="78"/>
      <c r="BI954" s="78"/>
      <c r="BJ954" s="78"/>
      <c r="BK954" s="78"/>
      <c r="BL954" s="78"/>
      <c r="BM954" s="78"/>
      <c r="BN954" s="78"/>
      <c r="BO954" s="78"/>
      <c r="BP954" s="78"/>
      <c r="BQ954" s="78"/>
      <c r="BR954" s="78"/>
      <c r="BS954" s="78"/>
      <c r="BT954" s="78"/>
      <c r="BU954" s="10"/>
      <c r="BV954" s="78"/>
      <c r="BW954" s="78"/>
      <c r="BX954" s="78"/>
      <c r="BY954" s="78"/>
      <c r="BZ954" s="78"/>
      <c r="CA954" s="78"/>
      <c r="CB954" s="78"/>
      <c r="CC954" s="78"/>
      <c r="CD954" s="78"/>
    </row>
    <row r="955">
      <c r="A955" s="10"/>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78"/>
      <c r="AY955" s="78"/>
      <c r="AZ955" s="78"/>
      <c r="BA955" s="78"/>
      <c r="BB955" s="78"/>
      <c r="BC955" s="78"/>
      <c r="BD955" s="78"/>
      <c r="BE955" s="78"/>
      <c r="BF955" s="78"/>
      <c r="BG955" s="78"/>
      <c r="BH955" s="78"/>
      <c r="BI955" s="78"/>
      <c r="BJ955" s="78"/>
      <c r="BK955" s="78"/>
      <c r="BL955" s="78"/>
      <c r="BM955" s="78"/>
      <c r="BN955" s="78"/>
      <c r="BO955" s="78"/>
      <c r="BP955" s="78"/>
      <c r="BQ955" s="78"/>
      <c r="BR955" s="78"/>
      <c r="BS955" s="78"/>
      <c r="BT955" s="78"/>
      <c r="BU955" s="10"/>
      <c r="BV955" s="78"/>
      <c r="BW955" s="78"/>
      <c r="BX955" s="78"/>
      <c r="BY955" s="78"/>
      <c r="BZ955" s="78"/>
      <c r="CA955" s="78"/>
      <c r="CB955" s="78"/>
      <c r="CC955" s="78"/>
      <c r="CD955" s="78"/>
    </row>
    <row r="956">
      <c r="A956" s="10"/>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78"/>
      <c r="AY956" s="78"/>
      <c r="AZ956" s="78"/>
      <c r="BA956" s="78"/>
      <c r="BB956" s="78"/>
      <c r="BC956" s="78"/>
      <c r="BD956" s="78"/>
      <c r="BE956" s="78"/>
      <c r="BF956" s="78"/>
      <c r="BG956" s="78"/>
      <c r="BH956" s="78"/>
      <c r="BI956" s="78"/>
      <c r="BJ956" s="78"/>
      <c r="BK956" s="78"/>
      <c r="BL956" s="78"/>
      <c r="BM956" s="78"/>
      <c r="BN956" s="78"/>
      <c r="BO956" s="78"/>
      <c r="BP956" s="78"/>
      <c r="BQ956" s="78"/>
      <c r="BR956" s="78"/>
      <c r="BS956" s="78"/>
      <c r="BT956" s="78"/>
      <c r="BU956" s="10"/>
      <c r="BV956" s="78"/>
      <c r="BW956" s="78"/>
      <c r="BX956" s="78"/>
      <c r="BY956" s="78"/>
      <c r="BZ956" s="78"/>
      <c r="CA956" s="78"/>
      <c r="CB956" s="78"/>
      <c r="CC956" s="78"/>
      <c r="CD956" s="78"/>
    </row>
    <row r="957">
      <c r="A957" s="10"/>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78"/>
      <c r="AY957" s="78"/>
      <c r="AZ957" s="78"/>
      <c r="BA957" s="78"/>
      <c r="BB957" s="78"/>
      <c r="BC957" s="78"/>
      <c r="BD957" s="78"/>
      <c r="BE957" s="78"/>
      <c r="BF957" s="78"/>
      <c r="BG957" s="78"/>
      <c r="BH957" s="78"/>
      <c r="BI957" s="78"/>
      <c r="BJ957" s="78"/>
      <c r="BK957" s="78"/>
      <c r="BL957" s="78"/>
      <c r="BM957" s="78"/>
      <c r="BN957" s="78"/>
      <c r="BO957" s="78"/>
      <c r="BP957" s="78"/>
      <c r="BQ957" s="78"/>
      <c r="BR957" s="78"/>
      <c r="BS957" s="78"/>
      <c r="BT957" s="78"/>
      <c r="BU957" s="10"/>
      <c r="BV957" s="78"/>
      <c r="BW957" s="78"/>
      <c r="BX957" s="78"/>
      <c r="BY957" s="78"/>
      <c r="BZ957" s="78"/>
      <c r="CA957" s="78"/>
      <c r="CB957" s="78"/>
      <c r="CC957" s="78"/>
      <c r="CD957" s="78"/>
    </row>
    <row r="958">
      <c r="A958" s="10"/>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78"/>
      <c r="AS958" s="78"/>
      <c r="AT958" s="78"/>
      <c r="AU958" s="78"/>
      <c r="AV958" s="78"/>
      <c r="AW958" s="78"/>
      <c r="AX958" s="78"/>
      <c r="AY958" s="78"/>
      <c r="AZ958" s="78"/>
      <c r="BA958" s="78"/>
      <c r="BB958" s="78"/>
      <c r="BC958" s="78"/>
      <c r="BD958" s="78"/>
      <c r="BE958" s="78"/>
      <c r="BF958" s="78"/>
      <c r="BG958" s="78"/>
      <c r="BH958" s="78"/>
      <c r="BI958" s="78"/>
      <c r="BJ958" s="78"/>
      <c r="BK958" s="78"/>
      <c r="BL958" s="78"/>
      <c r="BM958" s="78"/>
      <c r="BN958" s="78"/>
      <c r="BO958" s="78"/>
      <c r="BP958" s="78"/>
      <c r="BQ958" s="78"/>
      <c r="BR958" s="78"/>
      <c r="BS958" s="78"/>
      <c r="BT958" s="78"/>
      <c r="BU958" s="10"/>
      <c r="BV958" s="78"/>
      <c r="BW958" s="78"/>
      <c r="BX958" s="78"/>
      <c r="BY958" s="78"/>
      <c r="BZ958" s="78"/>
      <c r="CA958" s="78"/>
      <c r="CB958" s="78"/>
      <c r="CC958" s="78"/>
      <c r="CD958" s="78"/>
    </row>
    <row r="959">
      <c r="A959" s="10"/>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78"/>
      <c r="AY959" s="78"/>
      <c r="AZ959" s="78"/>
      <c r="BA959" s="78"/>
      <c r="BB959" s="78"/>
      <c r="BC959" s="78"/>
      <c r="BD959" s="78"/>
      <c r="BE959" s="78"/>
      <c r="BF959" s="78"/>
      <c r="BG959" s="78"/>
      <c r="BH959" s="78"/>
      <c r="BI959" s="78"/>
      <c r="BJ959" s="78"/>
      <c r="BK959" s="78"/>
      <c r="BL959" s="78"/>
      <c r="BM959" s="78"/>
      <c r="BN959" s="78"/>
      <c r="BO959" s="78"/>
      <c r="BP959" s="78"/>
      <c r="BQ959" s="78"/>
      <c r="BR959" s="78"/>
      <c r="BS959" s="78"/>
      <c r="BT959" s="78"/>
      <c r="BU959" s="10"/>
      <c r="BV959" s="78"/>
      <c r="BW959" s="78"/>
      <c r="BX959" s="78"/>
      <c r="BY959" s="78"/>
      <c r="BZ959" s="78"/>
      <c r="CA959" s="78"/>
      <c r="CB959" s="78"/>
      <c r="CC959" s="78"/>
      <c r="CD959" s="78"/>
    </row>
    <row r="960">
      <c r="A960" s="10"/>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78"/>
      <c r="AS960" s="78"/>
      <c r="AT960" s="78"/>
      <c r="AU960" s="78"/>
      <c r="AV960" s="78"/>
      <c r="AW960" s="78"/>
      <c r="AX960" s="78"/>
      <c r="AY960" s="78"/>
      <c r="AZ960" s="78"/>
      <c r="BA960" s="78"/>
      <c r="BB960" s="78"/>
      <c r="BC960" s="78"/>
      <c r="BD960" s="78"/>
      <c r="BE960" s="78"/>
      <c r="BF960" s="78"/>
      <c r="BG960" s="78"/>
      <c r="BH960" s="78"/>
      <c r="BI960" s="78"/>
      <c r="BJ960" s="78"/>
      <c r="BK960" s="78"/>
      <c r="BL960" s="78"/>
      <c r="BM960" s="78"/>
      <c r="BN960" s="78"/>
      <c r="BO960" s="78"/>
      <c r="BP960" s="78"/>
      <c r="BQ960" s="78"/>
      <c r="BR960" s="78"/>
      <c r="BS960" s="78"/>
      <c r="BT960" s="78"/>
      <c r="BU960" s="10"/>
      <c r="BV960" s="78"/>
      <c r="BW960" s="78"/>
      <c r="BX960" s="78"/>
      <c r="BY960" s="78"/>
      <c r="BZ960" s="78"/>
      <c r="CA960" s="78"/>
      <c r="CB960" s="78"/>
      <c r="CC960" s="78"/>
      <c r="CD960" s="78"/>
    </row>
    <row r="961">
      <c r="A961" s="10"/>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78"/>
      <c r="AY961" s="78"/>
      <c r="AZ961" s="78"/>
      <c r="BA961" s="78"/>
      <c r="BB961" s="78"/>
      <c r="BC961" s="78"/>
      <c r="BD961" s="78"/>
      <c r="BE961" s="78"/>
      <c r="BF961" s="78"/>
      <c r="BG961" s="78"/>
      <c r="BH961" s="78"/>
      <c r="BI961" s="78"/>
      <c r="BJ961" s="78"/>
      <c r="BK961" s="78"/>
      <c r="BL961" s="78"/>
      <c r="BM961" s="78"/>
      <c r="BN961" s="78"/>
      <c r="BO961" s="78"/>
      <c r="BP961" s="78"/>
      <c r="BQ961" s="78"/>
      <c r="BR961" s="78"/>
      <c r="BS961" s="78"/>
      <c r="BT961" s="78"/>
      <c r="BU961" s="10"/>
      <c r="BV961" s="78"/>
      <c r="BW961" s="78"/>
      <c r="BX961" s="78"/>
      <c r="BY961" s="78"/>
      <c r="BZ961" s="78"/>
      <c r="CA961" s="78"/>
      <c r="CB961" s="78"/>
      <c r="CC961" s="78"/>
      <c r="CD961" s="78"/>
    </row>
    <row r="962">
      <c r="A962" s="10"/>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78"/>
      <c r="AY962" s="78"/>
      <c r="AZ962" s="78"/>
      <c r="BA962" s="78"/>
      <c r="BB962" s="78"/>
      <c r="BC962" s="78"/>
      <c r="BD962" s="78"/>
      <c r="BE962" s="78"/>
      <c r="BF962" s="78"/>
      <c r="BG962" s="78"/>
      <c r="BH962" s="78"/>
      <c r="BI962" s="78"/>
      <c r="BJ962" s="78"/>
      <c r="BK962" s="78"/>
      <c r="BL962" s="78"/>
      <c r="BM962" s="78"/>
      <c r="BN962" s="78"/>
      <c r="BO962" s="78"/>
      <c r="BP962" s="78"/>
      <c r="BQ962" s="78"/>
      <c r="BR962" s="78"/>
      <c r="BS962" s="78"/>
      <c r="BT962" s="78"/>
      <c r="BU962" s="10"/>
      <c r="BV962" s="78"/>
      <c r="BW962" s="78"/>
      <c r="BX962" s="78"/>
      <c r="BY962" s="78"/>
      <c r="BZ962" s="78"/>
      <c r="CA962" s="78"/>
      <c r="CB962" s="78"/>
      <c r="CC962" s="78"/>
      <c r="CD962" s="78"/>
    </row>
    <row r="963">
      <c r="A963" s="10"/>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78"/>
      <c r="AS963" s="78"/>
      <c r="AT963" s="78"/>
      <c r="AU963" s="78"/>
      <c r="AV963" s="78"/>
      <c r="AW963" s="78"/>
      <c r="AX963" s="78"/>
      <c r="AY963" s="78"/>
      <c r="AZ963" s="78"/>
      <c r="BA963" s="78"/>
      <c r="BB963" s="78"/>
      <c r="BC963" s="78"/>
      <c r="BD963" s="78"/>
      <c r="BE963" s="78"/>
      <c r="BF963" s="78"/>
      <c r="BG963" s="78"/>
      <c r="BH963" s="78"/>
      <c r="BI963" s="78"/>
      <c r="BJ963" s="78"/>
      <c r="BK963" s="78"/>
      <c r="BL963" s="78"/>
      <c r="BM963" s="78"/>
      <c r="BN963" s="78"/>
      <c r="BO963" s="78"/>
      <c r="BP963" s="78"/>
      <c r="BQ963" s="78"/>
      <c r="BR963" s="78"/>
      <c r="BS963" s="78"/>
      <c r="BT963" s="78"/>
      <c r="BU963" s="10"/>
      <c r="BV963" s="78"/>
      <c r="BW963" s="78"/>
      <c r="BX963" s="78"/>
      <c r="BY963" s="78"/>
      <c r="BZ963" s="78"/>
      <c r="CA963" s="78"/>
      <c r="CB963" s="78"/>
      <c r="CC963" s="78"/>
      <c r="CD963" s="78"/>
    </row>
    <row r="964">
      <c r="A964" s="10"/>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78"/>
      <c r="AY964" s="78"/>
      <c r="AZ964" s="78"/>
      <c r="BA964" s="78"/>
      <c r="BB964" s="78"/>
      <c r="BC964" s="78"/>
      <c r="BD964" s="78"/>
      <c r="BE964" s="78"/>
      <c r="BF964" s="78"/>
      <c r="BG964" s="78"/>
      <c r="BH964" s="78"/>
      <c r="BI964" s="78"/>
      <c r="BJ964" s="78"/>
      <c r="BK964" s="78"/>
      <c r="BL964" s="78"/>
      <c r="BM964" s="78"/>
      <c r="BN964" s="78"/>
      <c r="BO964" s="78"/>
      <c r="BP964" s="78"/>
      <c r="BQ964" s="78"/>
      <c r="BR964" s="78"/>
      <c r="BS964" s="78"/>
      <c r="BT964" s="78"/>
      <c r="BU964" s="10"/>
      <c r="BV964" s="78"/>
      <c r="BW964" s="78"/>
      <c r="BX964" s="78"/>
      <c r="BY964" s="78"/>
      <c r="BZ964" s="78"/>
      <c r="CA964" s="78"/>
      <c r="CB964" s="78"/>
      <c r="CC964" s="78"/>
      <c r="CD964" s="78"/>
    </row>
    <row r="965">
      <c r="A965" s="10"/>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78"/>
      <c r="AS965" s="78"/>
      <c r="AT965" s="78"/>
      <c r="AU965" s="78"/>
      <c r="AV965" s="78"/>
      <c r="AW965" s="78"/>
      <c r="AX965" s="78"/>
      <c r="AY965" s="78"/>
      <c r="AZ965" s="78"/>
      <c r="BA965" s="78"/>
      <c r="BB965" s="78"/>
      <c r="BC965" s="78"/>
      <c r="BD965" s="78"/>
      <c r="BE965" s="78"/>
      <c r="BF965" s="78"/>
      <c r="BG965" s="78"/>
      <c r="BH965" s="78"/>
      <c r="BI965" s="78"/>
      <c r="BJ965" s="78"/>
      <c r="BK965" s="78"/>
      <c r="BL965" s="78"/>
      <c r="BM965" s="78"/>
      <c r="BN965" s="78"/>
      <c r="BO965" s="78"/>
      <c r="BP965" s="78"/>
      <c r="BQ965" s="78"/>
      <c r="BR965" s="78"/>
      <c r="BS965" s="78"/>
      <c r="BT965" s="78"/>
      <c r="BU965" s="10"/>
      <c r="BV965" s="78"/>
      <c r="BW965" s="78"/>
      <c r="BX965" s="78"/>
      <c r="BY965" s="78"/>
      <c r="BZ965" s="78"/>
      <c r="CA965" s="78"/>
      <c r="CB965" s="78"/>
      <c r="CC965" s="78"/>
      <c r="CD965" s="78"/>
    </row>
    <row r="966">
      <c r="A966" s="10"/>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78"/>
      <c r="AS966" s="78"/>
      <c r="AT966" s="78"/>
      <c r="AU966" s="78"/>
      <c r="AV966" s="78"/>
      <c r="AW966" s="78"/>
      <c r="AX966" s="78"/>
      <c r="AY966" s="78"/>
      <c r="AZ966" s="78"/>
      <c r="BA966" s="78"/>
      <c r="BB966" s="78"/>
      <c r="BC966" s="78"/>
      <c r="BD966" s="78"/>
      <c r="BE966" s="78"/>
      <c r="BF966" s="78"/>
      <c r="BG966" s="78"/>
      <c r="BH966" s="78"/>
      <c r="BI966" s="78"/>
      <c r="BJ966" s="78"/>
      <c r="BK966" s="78"/>
      <c r="BL966" s="78"/>
      <c r="BM966" s="78"/>
      <c r="BN966" s="78"/>
      <c r="BO966" s="78"/>
      <c r="BP966" s="78"/>
      <c r="BQ966" s="78"/>
      <c r="BR966" s="78"/>
      <c r="BS966" s="78"/>
      <c r="BT966" s="78"/>
      <c r="BU966" s="10"/>
      <c r="BV966" s="78"/>
      <c r="BW966" s="78"/>
      <c r="BX966" s="78"/>
      <c r="BY966" s="78"/>
      <c r="BZ966" s="78"/>
      <c r="CA966" s="78"/>
      <c r="CB966" s="78"/>
      <c r="CC966" s="78"/>
      <c r="CD966" s="78"/>
    </row>
    <row r="967">
      <c r="A967" s="10"/>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78"/>
      <c r="AY967" s="78"/>
      <c r="AZ967" s="78"/>
      <c r="BA967" s="78"/>
      <c r="BB967" s="78"/>
      <c r="BC967" s="78"/>
      <c r="BD967" s="78"/>
      <c r="BE967" s="78"/>
      <c r="BF967" s="78"/>
      <c r="BG967" s="78"/>
      <c r="BH967" s="78"/>
      <c r="BI967" s="78"/>
      <c r="BJ967" s="78"/>
      <c r="BK967" s="78"/>
      <c r="BL967" s="78"/>
      <c r="BM967" s="78"/>
      <c r="BN967" s="78"/>
      <c r="BO967" s="78"/>
      <c r="BP967" s="78"/>
      <c r="BQ967" s="78"/>
      <c r="BR967" s="78"/>
      <c r="BS967" s="78"/>
      <c r="BT967" s="78"/>
      <c r="BU967" s="10"/>
      <c r="BV967" s="78"/>
      <c r="BW967" s="78"/>
      <c r="BX967" s="78"/>
      <c r="BY967" s="78"/>
      <c r="BZ967" s="78"/>
      <c r="CA967" s="78"/>
      <c r="CB967" s="78"/>
      <c r="CC967" s="78"/>
      <c r="CD967" s="78"/>
    </row>
    <row r="968">
      <c r="A968" s="10"/>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78"/>
      <c r="AY968" s="78"/>
      <c r="AZ968" s="78"/>
      <c r="BA968" s="78"/>
      <c r="BB968" s="78"/>
      <c r="BC968" s="78"/>
      <c r="BD968" s="78"/>
      <c r="BE968" s="78"/>
      <c r="BF968" s="78"/>
      <c r="BG968" s="78"/>
      <c r="BH968" s="78"/>
      <c r="BI968" s="78"/>
      <c r="BJ968" s="78"/>
      <c r="BK968" s="78"/>
      <c r="BL968" s="78"/>
      <c r="BM968" s="78"/>
      <c r="BN968" s="78"/>
      <c r="BO968" s="78"/>
      <c r="BP968" s="78"/>
      <c r="BQ968" s="78"/>
      <c r="BR968" s="78"/>
      <c r="BS968" s="78"/>
      <c r="BT968" s="78"/>
      <c r="BU968" s="10"/>
      <c r="BV968" s="78"/>
      <c r="BW968" s="78"/>
      <c r="BX968" s="78"/>
      <c r="BY968" s="78"/>
      <c r="BZ968" s="78"/>
      <c r="CA968" s="78"/>
      <c r="CB968" s="78"/>
      <c r="CC968" s="78"/>
      <c r="CD968" s="78"/>
    </row>
    <row r="969">
      <c r="A969" s="10"/>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78"/>
      <c r="AY969" s="78"/>
      <c r="AZ969" s="78"/>
      <c r="BA969" s="78"/>
      <c r="BB969" s="78"/>
      <c r="BC969" s="78"/>
      <c r="BD969" s="78"/>
      <c r="BE969" s="78"/>
      <c r="BF969" s="78"/>
      <c r="BG969" s="78"/>
      <c r="BH969" s="78"/>
      <c r="BI969" s="78"/>
      <c r="BJ969" s="78"/>
      <c r="BK969" s="78"/>
      <c r="BL969" s="78"/>
      <c r="BM969" s="78"/>
      <c r="BN969" s="78"/>
      <c r="BO969" s="78"/>
      <c r="BP969" s="78"/>
      <c r="BQ969" s="78"/>
      <c r="BR969" s="78"/>
      <c r="BS969" s="78"/>
      <c r="BT969" s="78"/>
      <c r="BU969" s="10"/>
      <c r="BV969" s="78"/>
      <c r="BW969" s="78"/>
      <c r="BX969" s="78"/>
      <c r="BY969" s="78"/>
      <c r="BZ969" s="78"/>
      <c r="CA969" s="78"/>
      <c r="CB969" s="78"/>
      <c r="CC969" s="78"/>
      <c r="CD969" s="78"/>
    </row>
    <row r="970">
      <c r="A970" s="10"/>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78"/>
      <c r="AY970" s="78"/>
      <c r="AZ970" s="78"/>
      <c r="BA970" s="78"/>
      <c r="BB970" s="78"/>
      <c r="BC970" s="78"/>
      <c r="BD970" s="78"/>
      <c r="BE970" s="78"/>
      <c r="BF970" s="78"/>
      <c r="BG970" s="78"/>
      <c r="BH970" s="78"/>
      <c r="BI970" s="78"/>
      <c r="BJ970" s="78"/>
      <c r="BK970" s="78"/>
      <c r="BL970" s="78"/>
      <c r="BM970" s="78"/>
      <c r="BN970" s="78"/>
      <c r="BO970" s="78"/>
      <c r="BP970" s="78"/>
      <c r="BQ970" s="78"/>
      <c r="BR970" s="78"/>
      <c r="BS970" s="78"/>
      <c r="BT970" s="78"/>
      <c r="BU970" s="10"/>
      <c r="BV970" s="78"/>
      <c r="BW970" s="78"/>
      <c r="BX970" s="78"/>
      <c r="BY970" s="78"/>
      <c r="BZ970" s="78"/>
      <c r="CA970" s="78"/>
      <c r="CB970" s="78"/>
      <c r="CC970" s="78"/>
      <c r="CD970" s="78"/>
    </row>
    <row r="971">
      <c r="A971" s="10"/>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78"/>
      <c r="AS971" s="78"/>
      <c r="AT971" s="78"/>
      <c r="AU971" s="78"/>
      <c r="AV971" s="78"/>
      <c r="AW971" s="78"/>
      <c r="AX971" s="78"/>
      <c r="AY971" s="78"/>
      <c r="AZ971" s="78"/>
      <c r="BA971" s="78"/>
      <c r="BB971" s="78"/>
      <c r="BC971" s="78"/>
      <c r="BD971" s="78"/>
      <c r="BE971" s="78"/>
      <c r="BF971" s="78"/>
      <c r="BG971" s="78"/>
      <c r="BH971" s="78"/>
      <c r="BI971" s="78"/>
      <c r="BJ971" s="78"/>
      <c r="BK971" s="78"/>
      <c r="BL971" s="78"/>
      <c r="BM971" s="78"/>
      <c r="BN971" s="78"/>
      <c r="BO971" s="78"/>
      <c r="BP971" s="78"/>
      <c r="BQ971" s="78"/>
      <c r="BR971" s="78"/>
      <c r="BS971" s="78"/>
      <c r="BT971" s="78"/>
      <c r="BU971" s="10"/>
      <c r="BV971" s="78"/>
      <c r="BW971" s="78"/>
      <c r="BX971" s="78"/>
      <c r="BY971" s="78"/>
      <c r="BZ971" s="78"/>
      <c r="CA971" s="78"/>
      <c r="CB971" s="78"/>
      <c r="CC971" s="78"/>
      <c r="CD971" s="78"/>
    </row>
    <row r="972">
      <c r="A972" s="10"/>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78"/>
      <c r="AY972" s="78"/>
      <c r="AZ972" s="78"/>
      <c r="BA972" s="78"/>
      <c r="BB972" s="78"/>
      <c r="BC972" s="78"/>
      <c r="BD972" s="78"/>
      <c r="BE972" s="78"/>
      <c r="BF972" s="78"/>
      <c r="BG972" s="78"/>
      <c r="BH972" s="78"/>
      <c r="BI972" s="78"/>
      <c r="BJ972" s="78"/>
      <c r="BK972" s="78"/>
      <c r="BL972" s="78"/>
      <c r="BM972" s="78"/>
      <c r="BN972" s="78"/>
      <c r="BO972" s="78"/>
      <c r="BP972" s="78"/>
      <c r="BQ972" s="78"/>
      <c r="BR972" s="78"/>
      <c r="BS972" s="78"/>
      <c r="BT972" s="78"/>
      <c r="BU972" s="10"/>
      <c r="BV972" s="78"/>
      <c r="BW972" s="78"/>
      <c r="BX972" s="78"/>
      <c r="BY972" s="78"/>
      <c r="BZ972" s="78"/>
      <c r="CA972" s="78"/>
      <c r="CB972" s="78"/>
      <c r="CC972" s="78"/>
      <c r="CD972" s="78"/>
    </row>
    <row r="973">
      <c r="A973" s="10"/>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78"/>
      <c r="AY973" s="78"/>
      <c r="AZ973" s="78"/>
      <c r="BA973" s="78"/>
      <c r="BB973" s="78"/>
      <c r="BC973" s="78"/>
      <c r="BD973" s="78"/>
      <c r="BE973" s="78"/>
      <c r="BF973" s="78"/>
      <c r="BG973" s="78"/>
      <c r="BH973" s="78"/>
      <c r="BI973" s="78"/>
      <c r="BJ973" s="78"/>
      <c r="BK973" s="78"/>
      <c r="BL973" s="78"/>
      <c r="BM973" s="78"/>
      <c r="BN973" s="78"/>
      <c r="BO973" s="78"/>
      <c r="BP973" s="78"/>
      <c r="BQ973" s="78"/>
      <c r="BR973" s="78"/>
      <c r="BS973" s="78"/>
      <c r="BT973" s="78"/>
      <c r="BU973" s="10"/>
      <c r="BV973" s="78"/>
      <c r="BW973" s="78"/>
      <c r="BX973" s="78"/>
      <c r="BY973" s="78"/>
      <c r="BZ973" s="78"/>
      <c r="CA973" s="78"/>
      <c r="CB973" s="78"/>
      <c r="CC973" s="78"/>
      <c r="CD973" s="78"/>
    </row>
    <row r="974">
      <c r="A974" s="10"/>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78"/>
      <c r="AY974" s="78"/>
      <c r="AZ974" s="78"/>
      <c r="BA974" s="78"/>
      <c r="BB974" s="78"/>
      <c r="BC974" s="78"/>
      <c r="BD974" s="78"/>
      <c r="BE974" s="78"/>
      <c r="BF974" s="78"/>
      <c r="BG974" s="78"/>
      <c r="BH974" s="78"/>
      <c r="BI974" s="78"/>
      <c r="BJ974" s="78"/>
      <c r="BK974" s="78"/>
      <c r="BL974" s="78"/>
      <c r="BM974" s="78"/>
      <c r="BN974" s="78"/>
      <c r="BO974" s="78"/>
      <c r="BP974" s="78"/>
      <c r="BQ974" s="78"/>
      <c r="BR974" s="78"/>
      <c r="BS974" s="78"/>
      <c r="BT974" s="78"/>
      <c r="BU974" s="10"/>
      <c r="BV974" s="78"/>
      <c r="BW974" s="78"/>
      <c r="BX974" s="78"/>
      <c r="BY974" s="78"/>
      <c r="BZ974" s="78"/>
      <c r="CA974" s="78"/>
      <c r="CB974" s="78"/>
      <c r="CC974" s="78"/>
      <c r="CD974" s="78"/>
    </row>
    <row r="975">
      <c r="A975" s="10"/>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78"/>
      <c r="AS975" s="78"/>
      <c r="AT975" s="78"/>
      <c r="AU975" s="78"/>
      <c r="AV975" s="78"/>
      <c r="AW975" s="78"/>
      <c r="AX975" s="78"/>
      <c r="AY975" s="78"/>
      <c r="AZ975" s="78"/>
      <c r="BA975" s="78"/>
      <c r="BB975" s="78"/>
      <c r="BC975" s="78"/>
      <c r="BD975" s="78"/>
      <c r="BE975" s="78"/>
      <c r="BF975" s="78"/>
      <c r="BG975" s="78"/>
      <c r="BH975" s="78"/>
      <c r="BI975" s="78"/>
      <c r="BJ975" s="78"/>
      <c r="BK975" s="78"/>
      <c r="BL975" s="78"/>
      <c r="BM975" s="78"/>
      <c r="BN975" s="78"/>
      <c r="BO975" s="78"/>
      <c r="BP975" s="78"/>
      <c r="BQ975" s="78"/>
      <c r="BR975" s="78"/>
      <c r="BS975" s="78"/>
      <c r="BT975" s="78"/>
      <c r="BU975" s="10"/>
      <c r="BV975" s="78"/>
      <c r="BW975" s="78"/>
      <c r="BX975" s="78"/>
      <c r="BY975" s="78"/>
      <c r="BZ975" s="78"/>
      <c r="CA975" s="78"/>
      <c r="CB975" s="78"/>
      <c r="CC975" s="78"/>
      <c r="CD975" s="78"/>
    </row>
    <row r="976">
      <c r="A976" s="10"/>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78"/>
      <c r="AY976" s="78"/>
      <c r="AZ976" s="78"/>
      <c r="BA976" s="78"/>
      <c r="BB976" s="78"/>
      <c r="BC976" s="78"/>
      <c r="BD976" s="78"/>
      <c r="BE976" s="78"/>
      <c r="BF976" s="78"/>
      <c r="BG976" s="78"/>
      <c r="BH976" s="78"/>
      <c r="BI976" s="78"/>
      <c r="BJ976" s="78"/>
      <c r="BK976" s="78"/>
      <c r="BL976" s="78"/>
      <c r="BM976" s="78"/>
      <c r="BN976" s="78"/>
      <c r="BO976" s="78"/>
      <c r="BP976" s="78"/>
      <c r="BQ976" s="78"/>
      <c r="BR976" s="78"/>
      <c r="BS976" s="78"/>
      <c r="BT976" s="78"/>
      <c r="BU976" s="10"/>
      <c r="BV976" s="78"/>
      <c r="BW976" s="78"/>
      <c r="BX976" s="78"/>
      <c r="BY976" s="78"/>
      <c r="BZ976" s="78"/>
      <c r="CA976" s="78"/>
      <c r="CB976" s="78"/>
      <c r="CC976" s="78"/>
      <c r="CD976" s="78"/>
    </row>
    <row r="977">
      <c r="A977" s="10"/>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78"/>
      <c r="AS977" s="78"/>
      <c r="AT977" s="78"/>
      <c r="AU977" s="78"/>
      <c r="AV977" s="78"/>
      <c r="AW977" s="78"/>
      <c r="AX977" s="78"/>
      <c r="AY977" s="78"/>
      <c r="AZ977" s="78"/>
      <c r="BA977" s="78"/>
      <c r="BB977" s="78"/>
      <c r="BC977" s="78"/>
      <c r="BD977" s="78"/>
      <c r="BE977" s="78"/>
      <c r="BF977" s="78"/>
      <c r="BG977" s="78"/>
      <c r="BH977" s="78"/>
      <c r="BI977" s="78"/>
      <c r="BJ977" s="78"/>
      <c r="BK977" s="78"/>
      <c r="BL977" s="78"/>
      <c r="BM977" s="78"/>
      <c r="BN977" s="78"/>
      <c r="BO977" s="78"/>
      <c r="BP977" s="78"/>
      <c r="BQ977" s="78"/>
      <c r="BR977" s="78"/>
      <c r="BS977" s="78"/>
      <c r="BT977" s="78"/>
      <c r="BU977" s="10"/>
      <c r="BV977" s="78"/>
      <c r="BW977" s="78"/>
      <c r="BX977" s="78"/>
      <c r="BY977" s="78"/>
      <c r="BZ977" s="78"/>
      <c r="CA977" s="78"/>
      <c r="CB977" s="78"/>
      <c r="CC977" s="78"/>
      <c r="CD977" s="78"/>
    </row>
    <row r="978">
      <c r="A978" s="10"/>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78"/>
      <c r="AS978" s="78"/>
      <c r="AT978" s="78"/>
      <c r="AU978" s="78"/>
      <c r="AV978" s="78"/>
      <c r="AW978" s="78"/>
      <c r="AX978" s="78"/>
      <c r="AY978" s="78"/>
      <c r="AZ978" s="78"/>
      <c r="BA978" s="78"/>
      <c r="BB978" s="78"/>
      <c r="BC978" s="78"/>
      <c r="BD978" s="78"/>
      <c r="BE978" s="78"/>
      <c r="BF978" s="78"/>
      <c r="BG978" s="78"/>
      <c r="BH978" s="78"/>
      <c r="BI978" s="78"/>
      <c r="BJ978" s="78"/>
      <c r="BK978" s="78"/>
      <c r="BL978" s="78"/>
      <c r="BM978" s="78"/>
      <c r="BN978" s="78"/>
      <c r="BO978" s="78"/>
      <c r="BP978" s="78"/>
      <c r="BQ978" s="78"/>
      <c r="BR978" s="78"/>
      <c r="BS978" s="78"/>
      <c r="BT978" s="78"/>
      <c r="BU978" s="10"/>
      <c r="BV978" s="78"/>
      <c r="BW978" s="78"/>
      <c r="BX978" s="78"/>
      <c r="BY978" s="78"/>
      <c r="BZ978" s="78"/>
      <c r="CA978" s="78"/>
      <c r="CB978" s="78"/>
      <c r="CC978" s="78"/>
      <c r="CD978" s="78"/>
    </row>
    <row r="979">
      <c r="A979" s="10"/>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78"/>
      <c r="AY979" s="78"/>
      <c r="AZ979" s="78"/>
      <c r="BA979" s="78"/>
      <c r="BB979" s="78"/>
      <c r="BC979" s="78"/>
      <c r="BD979" s="78"/>
      <c r="BE979" s="78"/>
      <c r="BF979" s="78"/>
      <c r="BG979" s="78"/>
      <c r="BH979" s="78"/>
      <c r="BI979" s="78"/>
      <c r="BJ979" s="78"/>
      <c r="BK979" s="78"/>
      <c r="BL979" s="78"/>
      <c r="BM979" s="78"/>
      <c r="BN979" s="78"/>
      <c r="BO979" s="78"/>
      <c r="BP979" s="78"/>
      <c r="BQ979" s="78"/>
      <c r="BR979" s="78"/>
      <c r="BS979" s="78"/>
      <c r="BT979" s="78"/>
      <c r="BU979" s="10"/>
      <c r="BV979" s="78"/>
      <c r="BW979" s="78"/>
      <c r="BX979" s="78"/>
      <c r="BY979" s="78"/>
      <c r="BZ979" s="78"/>
      <c r="CA979" s="78"/>
      <c r="CB979" s="78"/>
      <c r="CC979" s="78"/>
      <c r="CD979" s="78"/>
    </row>
    <row r="980">
      <c r="A980" s="10"/>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78"/>
      <c r="AY980" s="78"/>
      <c r="AZ980" s="78"/>
      <c r="BA980" s="78"/>
      <c r="BB980" s="78"/>
      <c r="BC980" s="78"/>
      <c r="BD980" s="78"/>
      <c r="BE980" s="78"/>
      <c r="BF980" s="78"/>
      <c r="BG980" s="78"/>
      <c r="BH980" s="78"/>
      <c r="BI980" s="78"/>
      <c r="BJ980" s="78"/>
      <c r="BK980" s="78"/>
      <c r="BL980" s="78"/>
      <c r="BM980" s="78"/>
      <c r="BN980" s="78"/>
      <c r="BO980" s="78"/>
      <c r="BP980" s="78"/>
      <c r="BQ980" s="78"/>
      <c r="BR980" s="78"/>
      <c r="BS980" s="78"/>
      <c r="BT980" s="78"/>
      <c r="BU980" s="10"/>
      <c r="BV980" s="78"/>
      <c r="BW980" s="78"/>
      <c r="BX980" s="78"/>
      <c r="BY980" s="78"/>
      <c r="BZ980" s="78"/>
      <c r="CA980" s="78"/>
      <c r="CB980" s="78"/>
      <c r="CC980" s="78"/>
      <c r="CD980" s="78"/>
    </row>
    <row r="981">
      <c r="A981" s="10"/>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78"/>
      <c r="AY981" s="78"/>
      <c r="AZ981" s="78"/>
      <c r="BA981" s="78"/>
      <c r="BB981" s="78"/>
      <c r="BC981" s="78"/>
      <c r="BD981" s="78"/>
      <c r="BE981" s="78"/>
      <c r="BF981" s="78"/>
      <c r="BG981" s="78"/>
      <c r="BH981" s="78"/>
      <c r="BI981" s="78"/>
      <c r="BJ981" s="78"/>
      <c r="BK981" s="78"/>
      <c r="BL981" s="78"/>
      <c r="BM981" s="78"/>
      <c r="BN981" s="78"/>
      <c r="BO981" s="78"/>
      <c r="BP981" s="78"/>
      <c r="BQ981" s="78"/>
      <c r="BR981" s="78"/>
      <c r="BS981" s="78"/>
      <c r="BT981" s="78"/>
      <c r="BU981" s="10"/>
      <c r="BV981" s="78"/>
      <c r="BW981" s="78"/>
      <c r="BX981" s="78"/>
      <c r="BY981" s="78"/>
      <c r="BZ981" s="78"/>
      <c r="CA981" s="78"/>
      <c r="CB981" s="78"/>
      <c r="CC981" s="78"/>
      <c r="CD981" s="78"/>
    </row>
    <row r="982">
      <c r="A982" s="10"/>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78"/>
      <c r="AY982" s="78"/>
      <c r="AZ982" s="78"/>
      <c r="BA982" s="78"/>
      <c r="BB982" s="78"/>
      <c r="BC982" s="78"/>
      <c r="BD982" s="78"/>
      <c r="BE982" s="78"/>
      <c r="BF982" s="78"/>
      <c r="BG982" s="78"/>
      <c r="BH982" s="78"/>
      <c r="BI982" s="78"/>
      <c r="BJ982" s="78"/>
      <c r="BK982" s="78"/>
      <c r="BL982" s="78"/>
      <c r="BM982" s="78"/>
      <c r="BN982" s="78"/>
      <c r="BO982" s="78"/>
      <c r="BP982" s="78"/>
      <c r="BQ982" s="78"/>
      <c r="BR982" s="78"/>
      <c r="BS982" s="78"/>
      <c r="BT982" s="78"/>
      <c r="BU982" s="10"/>
      <c r="BV982" s="78"/>
      <c r="BW982" s="78"/>
      <c r="BX982" s="78"/>
      <c r="BY982" s="78"/>
      <c r="BZ982" s="78"/>
      <c r="CA982" s="78"/>
      <c r="CB982" s="78"/>
      <c r="CC982" s="78"/>
      <c r="CD982" s="78"/>
    </row>
    <row r="983">
      <c r="A983" s="10"/>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78"/>
      <c r="AY983" s="78"/>
      <c r="AZ983" s="78"/>
      <c r="BA983" s="78"/>
      <c r="BB983" s="78"/>
      <c r="BC983" s="78"/>
      <c r="BD983" s="78"/>
      <c r="BE983" s="78"/>
      <c r="BF983" s="78"/>
      <c r="BG983" s="78"/>
      <c r="BH983" s="78"/>
      <c r="BI983" s="78"/>
      <c r="BJ983" s="78"/>
      <c r="BK983" s="78"/>
      <c r="BL983" s="78"/>
      <c r="BM983" s="78"/>
      <c r="BN983" s="78"/>
      <c r="BO983" s="78"/>
      <c r="BP983" s="78"/>
      <c r="BQ983" s="78"/>
      <c r="BR983" s="78"/>
      <c r="BS983" s="78"/>
      <c r="BT983" s="78"/>
      <c r="BU983" s="10"/>
      <c r="BV983" s="78"/>
      <c r="BW983" s="78"/>
      <c r="BX983" s="78"/>
      <c r="BY983" s="78"/>
      <c r="BZ983" s="78"/>
      <c r="CA983" s="78"/>
      <c r="CB983" s="78"/>
      <c r="CC983" s="78"/>
      <c r="CD983" s="78"/>
    </row>
    <row r="984">
      <c r="A984" s="10"/>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78"/>
      <c r="AS984" s="78"/>
      <c r="AT984" s="78"/>
      <c r="AU984" s="78"/>
      <c r="AV984" s="78"/>
      <c r="AW984" s="78"/>
      <c r="AX984" s="78"/>
      <c r="AY984" s="78"/>
      <c r="AZ984" s="78"/>
      <c r="BA984" s="78"/>
      <c r="BB984" s="78"/>
      <c r="BC984" s="78"/>
      <c r="BD984" s="78"/>
      <c r="BE984" s="78"/>
      <c r="BF984" s="78"/>
      <c r="BG984" s="78"/>
      <c r="BH984" s="78"/>
      <c r="BI984" s="78"/>
      <c r="BJ984" s="78"/>
      <c r="BK984" s="78"/>
      <c r="BL984" s="78"/>
      <c r="BM984" s="78"/>
      <c r="BN984" s="78"/>
      <c r="BO984" s="78"/>
      <c r="BP984" s="78"/>
      <c r="BQ984" s="78"/>
      <c r="BR984" s="78"/>
      <c r="BS984" s="78"/>
      <c r="BT984" s="78"/>
      <c r="BU984" s="10"/>
      <c r="BV984" s="78"/>
      <c r="BW984" s="78"/>
      <c r="BX984" s="78"/>
      <c r="BY984" s="78"/>
      <c r="BZ984" s="78"/>
      <c r="CA984" s="78"/>
      <c r="CB984" s="78"/>
      <c r="CC984" s="78"/>
      <c r="CD984" s="78"/>
    </row>
    <row r="985">
      <c r="A985" s="10"/>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78"/>
      <c r="AY985" s="78"/>
      <c r="AZ985" s="78"/>
      <c r="BA985" s="78"/>
      <c r="BB985" s="78"/>
      <c r="BC985" s="78"/>
      <c r="BD985" s="78"/>
      <c r="BE985" s="78"/>
      <c r="BF985" s="78"/>
      <c r="BG985" s="78"/>
      <c r="BH985" s="78"/>
      <c r="BI985" s="78"/>
      <c r="BJ985" s="78"/>
      <c r="BK985" s="78"/>
      <c r="BL985" s="78"/>
      <c r="BM985" s="78"/>
      <c r="BN985" s="78"/>
      <c r="BO985" s="78"/>
      <c r="BP985" s="78"/>
      <c r="BQ985" s="78"/>
      <c r="BR985" s="78"/>
      <c r="BS985" s="78"/>
      <c r="BT985" s="78"/>
      <c r="BU985" s="10"/>
      <c r="BV985" s="78"/>
      <c r="BW985" s="78"/>
      <c r="BX985" s="78"/>
      <c r="BY985" s="78"/>
      <c r="BZ985" s="78"/>
      <c r="CA985" s="78"/>
      <c r="CB985" s="78"/>
      <c r="CC985" s="78"/>
      <c r="CD985" s="78"/>
    </row>
    <row r="986">
      <c r="A986" s="10"/>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78"/>
      <c r="AS986" s="78"/>
      <c r="AT986" s="78"/>
      <c r="AU986" s="78"/>
      <c r="AV986" s="78"/>
      <c r="AW986" s="78"/>
      <c r="AX986" s="78"/>
      <c r="AY986" s="78"/>
      <c r="AZ986" s="78"/>
      <c r="BA986" s="78"/>
      <c r="BB986" s="78"/>
      <c r="BC986" s="78"/>
      <c r="BD986" s="78"/>
      <c r="BE986" s="78"/>
      <c r="BF986" s="78"/>
      <c r="BG986" s="78"/>
      <c r="BH986" s="78"/>
      <c r="BI986" s="78"/>
      <c r="BJ986" s="78"/>
      <c r="BK986" s="78"/>
      <c r="BL986" s="78"/>
      <c r="BM986" s="78"/>
      <c r="BN986" s="78"/>
      <c r="BO986" s="78"/>
      <c r="BP986" s="78"/>
      <c r="BQ986" s="78"/>
      <c r="BR986" s="78"/>
      <c r="BS986" s="78"/>
      <c r="BT986" s="78"/>
      <c r="BU986" s="10"/>
      <c r="BV986" s="78"/>
      <c r="BW986" s="78"/>
      <c r="BX986" s="78"/>
      <c r="BY986" s="78"/>
      <c r="BZ986" s="78"/>
      <c r="CA986" s="78"/>
      <c r="CB986" s="78"/>
      <c r="CC986" s="78"/>
      <c r="CD986" s="78"/>
    </row>
    <row r="987">
      <c r="A987" s="10"/>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c r="AR987" s="78"/>
      <c r="AS987" s="78"/>
      <c r="AT987" s="78"/>
      <c r="AU987" s="78"/>
      <c r="AV987" s="78"/>
      <c r="AW987" s="78"/>
      <c r="AX987" s="78"/>
      <c r="AY987" s="78"/>
      <c r="AZ987" s="78"/>
      <c r="BA987" s="78"/>
      <c r="BB987" s="78"/>
      <c r="BC987" s="78"/>
      <c r="BD987" s="78"/>
      <c r="BE987" s="78"/>
      <c r="BF987" s="78"/>
      <c r="BG987" s="78"/>
      <c r="BH987" s="78"/>
      <c r="BI987" s="78"/>
      <c r="BJ987" s="78"/>
      <c r="BK987" s="78"/>
      <c r="BL987" s="78"/>
      <c r="BM987" s="78"/>
      <c r="BN987" s="78"/>
      <c r="BO987" s="78"/>
      <c r="BP987" s="78"/>
      <c r="BQ987" s="78"/>
      <c r="BR987" s="78"/>
      <c r="BS987" s="78"/>
      <c r="BT987" s="78"/>
      <c r="BU987" s="10"/>
      <c r="BV987" s="78"/>
      <c r="BW987" s="78"/>
      <c r="BX987" s="78"/>
      <c r="BY987" s="78"/>
      <c r="BZ987" s="78"/>
      <c r="CA987" s="78"/>
      <c r="CB987" s="78"/>
      <c r="CC987" s="78"/>
      <c r="CD987" s="78"/>
    </row>
    <row r="988">
      <c r="A988" s="10"/>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c r="AR988" s="78"/>
      <c r="AS988" s="78"/>
      <c r="AT988" s="78"/>
      <c r="AU988" s="78"/>
      <c r="AV988" s="78"/>
      <c r="AW988" s="78"/>
      <c r="AX988" s="78"/>
      <c r="AY988" s="78"/>
      <c r="AZ988" s="78"/>
      <c r="BA988" s="78"/>
      <c r="BB988" s="78"/>
      <c r="BC988" s="78"/>
      <c r="BD988" s="78"/>
      <c r="BE988" s="78"/>
      <c r="BF988" s="78"/>
      <c r="BG988" s="78"/>
      <c r="BH988" s="78"/>
      <c r="BI988" s="78"/>
      <c r="BJ988" s="78"/>
      <c r="BK988" s="78"/>
      <c r="BL988" s="78"/>
      <c r="BM988" s="78"/>
      <c r="BN988" s="78"/>
      <c r="BO988" s="78"/>
      <c r="BP988" s="78"/>
      <c r="BQ988" s="78"/>
      <c r="BR988" s="78"/>
      <c r="BS988" s="78"/>
      <c r="BT988" s="78"/>
      <c r="BU988" s="10"/>
      <c r="BV988" s="78"/>
      <c r="BW988" s="78"/>
      <c r="BX988" s="78"/>
      <c r="BY988" s="78"/>
      <c r="BZ988" s="78"/>
      <c r="CA988" s="78"/>
      <c r="CB988" s="78"/>
      <c r="CC988" s="78"/>
      <c r="CD988" s="78"/>
    </row>
    <row r="989">
      <c r="A989" s="10"/>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c r="AR989" s="78"/>
      <c r="AS989" s="78"/>
      <c r="AT989" s="78"/>
      <c r="AU989" s="78"/>
      <c r="AV989" s="78"/>
      <c r="AW989" s="78"/>
      <c r="AX989" s="78"/>
      <c r="AY989" s="78"/>
      <c r="AZ989" s="78"/>
      <c r="BA989" s="78"/>
      <c r="BB989" s="78"/>
      <c r="BC989" s="78"/>
      <c r="BD989" s="78"/>
      <c r="BE989" s="78"/>
      <c r="BF989" s="78"/>
      <c r="BG989" s="78"/>
      <c r="BH989" s="78"/>
      <c r="BI989" s="78"/>
      <c r="BJ989" s="78"/>
      <c r="BK989" s="78"/>
      <c r="BL989" s="78"/>
      <c r="BM989" s="78"/>
      <c r="BN989" s="78"/>
      <c r="BO989" s="78"/>
      <c r="BP989" s="78"/>
      <c r="BQ989" s="78"/>
      <c r="BR989" s="78"/>
      <c r="BS989" s="78"/>
      <c r="BT989" s="78"/>
      <c r="BU989" s="10"/>
      <c r="BV989" s="78"/>
      <c r="BW989" s="78"/>
      <c r="BX989" s="78"/>
      <c r="BY989" s="78"/>
      <c r="BZ989" s="78"/>
      <c r="CA989" s="78"/>
      <c r="CB989" s="78"/>
      <c r="CC989" s="78"/>
      <c r="CD989" s="78"/>
    </row>
    <row r="990">
      <c r="A990" s="10"/>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c r="AR990" s="78"/>
      <c r="AS990" s="78"/>
      <c r="AT990" s="78"/>
      <c r="AU990" s="78"/>
      <c r="AV990" s="78"/>
      <c r="AW990" s="78"/>
      <c r="AX990" s="78"/>
      <c r="AY990" s="78"/>
      <c r="AZ990" s="78"/>
      <c r="BA990" s="78"/>
      <c r="BB990" s="78"/>
      <c r="BC990" s="78"/>
      <c r="BD990" s="78"/>
      <c r="BE990" s="78"/>
      <c r="BF990" s="78"/>
      <c r="BG990" s="78"/>
      <c r="BH990" s="78"/>
      <c r="BI990" s="78"/>
      <c r="BJ990" s="78"/>
      <c r="BK990" s="78"/>
      <c r="BL990" s="78"/>
      <c r="BM990" s="78"/>
      <c r="BN990" s="78"/>
      <c r="BO990" s="78"/>
      <c r="BP990" s="78"/>
      <c r="BQ990" s="78"/>
      <c r="BR990" s="78"/>
      <c r="BS990" s="78"/>
      <c r="BT990" s="78"/>
      <c r="BU990" s="10"/>
      <c r="BV990" s="78"/>
      <c r="BW990" s="78"/>
      <c r="BX990" s="78"/>
      <c r="BY990" s="78"/>
      <c r="BZ990" s="78"/>
      <c r="CA990" s="78"/>
      <c r="CB990" s="78"/>
      <c r="CC990" s="78"/>
      <c r="CD990" s="78"/>
    </row>
    <row r="991">
      <c r="A991" s="10"/>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c r="AR991" s="78"/>
      <c r="AS991" s="78"/>
      <c r="AT991" s="78"/>
      <c r="AU991" s="78"/>
      <c r="AV991" s="78"/>
      <c r="AW991" s="78"/>
      <c r="AX991" s="78"/>
      <c r="AY991" s="78"/>
      <c r="AZ991" s="78"/>
      <c r="BA991" s="78"/>
      <c r="BB991" s="78"/>
      <c r="BC991" s="78"/>
      <c r="BD991" s="78"/>
      <c r="BE991" s="78"/>
      <c r="BF991" s="78"/>
      <c r="BG991" s="78"/>
      <c r="BH991" s="78"/>
      <c r="BI991" s="78"/>
      <c r="BJ991" s="78"/>
      <c r="BK991" s="78"/>
      <c r="BL991" s="78"/>
      <c r="BM991" s="78"/>
      <c r="BN991" s="78"/>
      <c r="BO991" s="78"/>
      <c r="BP991" s="78"/>
      <c r="BQ991" s="78"/>
      <c r="BR991" s="78"/>
      <c r="BS991" s="78"/>
      <c r="BT991" s="78"/>
      <c r="BU991" s="10"/>
      <c r="BV991" s="78"/>
      <c r="BW991" s="78"/>
      <c r="BX991" s="78"/>
      <c r="BY991" s="78"/>
      <c r="BZ991" s="78"/>
      <c r="CA991" s="78"/>
      <c r="CB991" s="78"/>
      <c r="CC991" s="78"/>
      <c r="CD991" s="78"/>
    </row>
    <row r="992">
      <c r="A992" s="10"/>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c r="AP992" s="78"/>
      <c r="AQ992" s="78"/>
      <c r="AR992" s="78"/>
      <c r="AS992" s="78"/>
      <c r="AT992" s="78"/>
      <c r="AU992" s="78"/>
      <c r="AV992" s="78"/>
      <c r="AW992" s="78"/>
      <c r="AX992" s="78"/>
      <c r="AY992" s="78"/>
      <c r="AZ992" s="78"/>
      <c r="BA992" s="78"/>
      <c r="BB992" s="78"/>
      <c r="BC992" s="78"/>
      <c r="BD992" s="78"/>
      <c r="BE992" s="78"/>
      <c r="BF992" s="78"/>
      <c r="BG992" s="78"/>
      <c r="BH992" s="78"/>
      <c r="BI992" s="78"/>
      <c r="BJ992" s="78"/>
      <c r="BK992" s="78"/>
      <c r="BL992" s="78"/>
      <c r="BM992" s="78"/>
      <c r="BN992" s="78"/>
      <c r="BO992" s="78"/>
      <c r="BP992" s="78"/>
      <c r="BQ992" s="78"/>
      <c r="BR992" s="78"/>
      <c r="BS992" s="78"/>
      <c r="BT992" s="78"/>
      <c r="BU992" s="10"/>
      <c r="BV992" s="78"/>
      <c r="BW992" s="78"/>
      <c r="BX992" s="78"/>
      <c r="BY992" s="78"/>
      <c r="BZ992" s="78"/>
      <c r="CA992" s="78"/>
      <c r="CB992" s="78"/>
      <c r="CC992" s="78"/>
      <c r="CD992" s="78"/>
    </row>
    <row r="993">
      <c r="A993" s="10"/>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c r="AP993" s="78"/>
      <c r="AQ993" s="78"/>
      <c r="AR993" s="78"/>
      <c r="AS993" s="78"/>
      <c r="AT993" s="78"/>
      <c r="AU993" s="78"/>
      <c r="AV993" s="78"/>
      <c r="AW993" s="78"/>
      <c r="AX993" s="78"/>
      <c r="AY993" s="78"/>
      <c r="AZ993" s="78"/>
      <c r="BA993" s="78"/>
      <c r="BB993" s="78"/>
      <c r="BC993" s="78"/>
      <c r="BD993" s="78"/>
      <c r="BE993" s="78"/>
      <c r="BF993" s="78"/>
      <c r="BG993" s="78"/>
      <c r="BH993" s="78"/>
      <c r="BI993" s="78"/>
      <c r="BJ993" s="78"/>
      <c r="BK993" s="78"/>
      <c r="BL993" s="78"/>
      <c r="BM993" s="78"/>
      <c r="BN993" s="78"/>
      <c r="BO993" s="78"/>
      <c r="BP993" s="78"/>
      <c r="BQ993" s="78"/>
      <c r="BR993" s="78"/>
      <c r="BS993" s="78"/>
      <c r="BT993" s="78"/>
      <c r="BU993" s="10"/>
      <c r="BV993" s="78"/>
      <c r="BW993" s="78"/>
      <c r="BX993" s="78"/>
      <c r="BY993" s="78"/>
      <c r="BZ993" s="78"/>
      <c r="CA993" s="78"/>
      <c r="CB993" s="78"/>
      <c r="CC993" s="78"/>
      <c r="CD993" s="78"/>
    </row>
    <row r="994">
      <c r="A994" s="10"/>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c r="AR994" s="78"/>
      <c r="AS994" s="78"/>
      <c r="AT994" s="78"/>
      <c r="AU994" s="78"/>
      <c r="AV994" s="78"/>
      <c r="AW994" s="78"/>
      <c r="AX994" s="78"/>
      <c r="AY994" s="78"/>
      <c r="AZ994" s="78"/>
      <c r="BA994" s="78"/>
      <c r="BB994" s="78"/>
      <c r="BC994" s="78"/>
      <c r="BD994" s="78"/>
      <c r="BE994" s="78"/>
      <c r="BF994" s="78"/>
      <c r="BG994" s="78"/>
      <c r="BH994" s="78"/>
      <c r="BI994" s="78"/>
      <c r="BJ994" s="78"/>
      <c r="BK994" s="78"/>
      <c r="BL994" s="78"/>
      <c r="BM994" s="78"/>
      <c r="BN994" s="78"/>
      <c r="BO994" s="78"/>
      <c r="BP994" s="78"/>
      <c r="BQ994" s="78"/>
      <c r="BR994" s="78"/>
      <c r="BS994" s="78"/>
      <c r="BT994" s="78"/>
      <c r="BU994" s="10"/>
      <c r="BV994" s="78"/>
      <c r="BW994" s="78"/>
      <c r="BX994" s="78"/>
      <c r="BY994" s="78"/>
      <c r="BZ994" s="78"/>
      <c r="CA994" s="78"/>
      <c r="CB994" s="78"/>
      <c r="CC994" s="78"/>
      <c r="CD994" s="78"/>
    </row>
    <row r="995">
      <c r="A995" s="10"/>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c r="AP995" s="78"/>
      <c r="AQ995" s="78"/>
      <c r="AR995" s="78"/>
      <c r="AS995" s="78"/>
      <c r="AT995" s="78"/>
      <c r="AU995" s="78"/>
      <c r="AV995" s="78"/>
      <c r="AW995" s="78"/>
      <c r="AX995" s="78"/>
      <c r="AY995" s="78"/>
      <c r="AZ995" s="78"/>
      <c r="BA995" s="78"/>
      <c r="BB995" s="78"/>
      <c r="BC995" s="78"/>
      <c r="BD995" s="78"/>
      <c r="BE995" s="78"/>
      <c r="BF995" s="78"/>
      <c r="BG995" s="78"/>
      <c r="BH995" s="78"/>
      <c r="BI995" s="78"/>
      <c r="BJ995" s="78"/>
      <c r="BK995" s="78"/>
      <c r="BL995" s="78"/>
      <c r="BM995" s="78"/>
      <c r="BN995" s="78"/>
      <c r="BO995" s="78"/>
      <c r="BP995" s="78"/>
      <c r="BQ995" s="78"/>
      <c r="BR995" s="78"/>
      <c r="BS995" s="78"/>
      <c r="BT995" s="78"/>
      <c r="BU995" s="10"/>
      <c r="BV995" s="78"/>
      <c r="BW995" s="78"/>
      <c r="BX995" s="78"/>
      <c r="BY995" s="78"/>
      <c r="BZ995" s="78"/>
      <c r="CA995" s="78"/>
      <c r="CB995" s="78"/>
      <c r="CC995" s="78"/>
      <c r="CD995" s="78"/>
    </row>
    <row r="996">
      <c r="A996" s="10"/>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c r="AP996" s="78"/>
      <c r="AQ996" s="78"/>
      <c r="AR996" s="78"/>
      <c r="AS996" s="78"/>
      <c r="AT996" s="78"/>
      <c r="AU996" s="78"/>
      <c r="AV996" s="78"/>
      <c r="AW996" s="78"/>
      <c r="AX996" s="78"/>
      <c r="AY996" s="78"/>
      <c r="AZ996" s="78"/>
      <c r="BA996" s="78"/>
      <c r="BB996" s="78"/>
      <c r="BC996" s="78"/>
      <c r="BD996" s="78"/>
      <c r="BE996" s="78"/>
      <c r="BF996" s="78"/>
      <c r="BG996" s="78"/>
      <c r="BH996" s="78"/>
      <c r="BI996" s="78"/>
      <c r="BJ996" s="78"/>
      <c r="BK996" s="78"/>
      <c r="BL996" s="78"/>
      <c r="BM996" s="78"/>
      <c r="BN996" s="78"/>
      <c r="BO996" s="78"/>
      <c r="BP996" s="78"/>
      <c r="BQ996" s="78"/>
      <c r="BR996" s="78"/>
      <c r="BS996" s="78"/>
      <c r="BT996" s="78"/>
      <c r="BU996" s="10"/>
      <c r="BV996" s="78"/>
      <c r="BW996" s="78"/>
      <c r="BX996" s="78"/>
      <c r="BY996" s="78"/>
      <c r="BZ996" s="78"/>
      <c r="CA996" s="78"/>
      <c r="CB996" s="78"/>
      <c r="CC996" s="78"/>
      <c r="CD996" s="78"/>
    </row>
    <row r="997">
      <c r="A997" s="10"/>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c r="AP997" s="78"/>
      <c r="AQ997" s="78"/>
      <c r="AR997" s="78"/>
      <c r="AS997" s="78"/>
      <c r="AT997" s="78"/>
      <c r="AU997" s="78"/>
      <c r="AV997" s="78"/>
      <c r="AW997" s="78"/>
      <c r="AX997" s="78"/>
      <c r="AY997" s="78"/>
      <c r="AZ997" s="78"/>
      <c r="BA997" s="78"/>
      <c r="BB997" s="78"/>
      <c r="BC997" s="78"/>
      <c r="BD997" s="78"/>
      <c r="BE997" s="78"/>
      <c r="BF997" s="78"/>
      <c r="BG997" s="78"/>
      <c r="BH997" s="78"/>
      <c r="BI997" s="78"/>
      <c r="BJ997" s="78"/>
      <c r="BK997" s="78"/>
      <c r="BL997" s="78"/>
      <c r="BM997" s="78"/>
      <c r="BN997" s="78"/>
      <c r="BO997" s="78"/>
      <c r="BP997" s="78"/>
      <c r="BQ997" s="78"/>
      <c r="BR997" s="78"/>
      <c r="BS997" s="78"/>
      <c r="BT997" s="78"/>
      <c r="BU997" s="10"/>
      <c r="BV997" s="78"/>
      <c r="BW997" s="78"/>
      <c r="BX997" s="78"/>
      <c r="BY997" s="78"/>
      <c r="BZ997" s="78"/>
      <c r="CA997" s="78"/>
      <c r="CB997" s="78"/>
      <c r="CC997" s="78"/>
      <c r="CD997" s="78"/>
    </row>
    <row r="998">
      <c r="A998" s="10"/>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c r="AP998" s="78"/>
      <c r="AQ998" s="78"/>
      <c r="AR998" s="78"/>
      <c r="AS998" s="78"/>
      <c r="AT998" s="78"/>
      <c r="AU998" s="78"/>
      <c r="AV998" s="78"/>
      <c r="AW998" s="78"/>
      <c r="AX998" s="78"/>
      <c r="AY998" s="78"/>
      <c r="AZ998" s="78"/>
      <c r="BA998" s="78"/>
      <c r="BB998" s="78"/>
      <c r="BC998" s="78"/>
      <c r="BD998" s="78"/>
      <c r="BE998" s="78"/>
      <c r="BF998" s="78"/>
      <c r="BG998" s="78"/>
      <c r="BH998" s="78"/>
      <c r="BI998" s="78"/>
      <c r="BJ998" s="78"/>
      <c r="BK998" s="78"/>
      <c r="BL998" s="78"/>
      <c r="BM998" s="78"/>
      <c r="BN998" s="78"/>
      <c r="BO998" s="78"/>
      <c r="BP998" s="78"/>
      <c r="BQ998" s="78"/>
      <c r="BR998" s="78"/>
      <c r="BS998" s="78"/>
      <c r="BT998" s="78"/>
      <c r="BU998" s="10"/>
      <c r="BV998" s="78"/>
      <c r="BW998" s="78"/>
      <c r="BX998" s="78"/>
      <c r="BY998" s="78"/>
      <c r="BZ998" s="78"/>
      <c r="CA998" s="78"/>
      <c r="CB998" s="78"/>
      <c r="CC998" s="78"/>
      <c r="CD998" s="78"/>
    </row>
    <row r="999">
      <c r="A999" s="10"/>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c r="AN999" s="78"/>
      <c r="AO999" s="78"/>
      <c r="AP999" s="78"/>
      <c r="AQ999" s="78"/>
      <c r="AR999" s="78"/>
      <c r="AS999" s="78"/>
      <c r="AT999" s="78"/>
      <c r="AU999" s="78"/>
      <c r="AV999" s="78"/>
      <c r="AW999" s="78"/>
      <c r="AX999" s="78"/>
      <c r="AY999" s="78"/>
      <c r="AZ999" s="78"/>
      <c r="BA999" s="78"/>
      <c r="BB999" s="78"/>
      <c r="BC999" s="78"/>
      <c r="BD999" s="78"/>
      <c r="BE999" s="78"/>
      <c r="BF999" s="78"/>
      <c r="BG999" s="78"/>
      <c r="BH999" s="78"/>
      <c r="BI999" s="78"/>
      <c r="BJ999" s="78"/>
      <c r="BK999" s="78"/>
      <c r="BL999" s="78"/>
      <c r="BM999" s="78"/>
      <c r="BN999" s="78"/>
      <c r="BO999" s="78"/>
      <c r="BP999" s="78"/>
      <c r="BQ999" s="78"/>
      <c r="BR999" s="78"/>
      <c r="BS999" s="78"/>
      <c r="BT999" s="78"/>
      <c r="BU999" s="10"/>
      <c r="BV999" s="78"/>
      <c r="BW999" s="78"/>
      <c r="BX999" s="78"/>
      <c r="BY999" s="78"/>
      <c r="BZ999" s="78"/>
      <c r="CA999" s="78"/>
      <c r="CB999" s="78"/>
      <c r="CC999" s="78"/>
      <c r="CD999" s="78"/>
    </row>
    <row r="1000">
      <c r="A1000" s="10"/>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c r="AP1000" s="78"/>
      <c r="AQ1000" s="78"/>
      <c r="AR1000" s="78"/>
      <c r="AS1000" s="78"/>
      <c r="AT1000" s="78"/>
      <c r="AU1000" s="78"/>
      <c r="AV1000" s="78"/>
      <c r="AW1000" s="78"/>
      <c r="AX1000" s="78"/>
      <c r="AY1000" s="78"/>
      <c r="AZ1000" s="78"/>
      <c r="BA1000" s="78"/>
      <c r="BB1000" s="78"/>
      <c r="BC1000" s="78"/>
      <c r="BD1000" s="78"/>
      <c r="BE1000" s="78"/>
      <c r="BF1000" s="78"/>
      <c r="BG1000" s="78"/>
      <c r="BH1000" s="78"/>
      <c r="BI1000" s="78"/>
      <c r="BJ1000" s="78"/>
      <c r="BK1000" s="78"/>
      <c r="BL1000" s="78"/>
      <c r="BM1000" s="78"/>
      <c r="BN1000" s="78"/>
      <c r="BO1000" s="78"/>
      <c r="BP1000" s="78"/>
      <c r="BQ1000" s="78"/>
      <c r="BR1000" s="78"/>
      <c r="BS1000" s="78"/>
      <c r="BT1000" s="78"/>
      <c r="BU1000" s="10"/>
      <c r="BV1000" s="78"/>
      <c r="BW1000" s="78"/>
      <c r="BX1000" s="78"/>
      <c r="BY1000" s="78"/>
      <c r="BZ1000" s="78"/>
      <c r="CA1000" s="78"/>
      <c r="CB1000" s="78"/>
      <c r="CC1000" s="78"/>
      <c r="CD1000" s="78"/>
    </row>
    <row r="1001">
      <c r="A1001" s="10"/>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c r="AL1001" s="78"/>
      <c r="AM1001" s="78"/>
      <c r="AN1001" s="78"/>
      <c r="AO1001" s="78"/>
      <c r="AP1001" s="78"/>
      <c r="AQ1001" s="78"/>
      <c r="AR1001" s="78"/>
      <c r="AS1001" s="78"/>
      <c r="AT1001" s="78"/>
      <c r="AU1001" s="78"/>
      <c r="AV1001" s="78"/>
      <c r="AW1001" s="78"/>
      <c r="AX1001" s="78"/>
      <c r="AY1001" s="78"/>
      <c r="AZ1001" s="78"/>
      <c r="BA1001" s="78"/>
      <c r="BB1001" s="78"/>
      <c r="BC1001" s="78"/>
      <c r="BD1001" s="78"/>
      <c r="BE1001" s="78"/>
      <c r="BF1001" s="78"/>
      <c r="BG1001" s="78"/>
      <c r="BH1001" s="78"/>
      <c r="BI1001" s="78"/>
      <c r="BJ1001" s="78"/>
      <c r="BK1001" s="78"/>
      <c r="BL1001" s="78"/>
      <c r="BM1001" s="78"/>
      <c r="BN1001" s="78"/>
      <c r="BO1001" s="78"/>
      <c r="BP1001" s="78"/>
      <c r="BQ1001" s="78"/>
      <c r="BR1001" s="78"/>
      <c r="BS1001" s="78"/>
      <c r="BT1001" s="78"/>
      <c r="BU1001" s="10"/>
      <c r="BV1001" s="78"/>
      <c r="BW1001" s="78"/>
      <c r="BX1001" s="78"/>
      <c r="BY1001" s="78"/>
      <c r="BZ1001" s="78"/>
      <c r="CA1001" s="78"/>
      <c r="CB1001" s="78"/>
      <c r="CC1001" s="78"/>
      <c r="CD1001" s="78"/>
    </row>
    <row r="1002">
      <c r="A1002" s="10"/>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c r="AD1002" s="78"/>
      <c r="AE1002" s="78"/>
      <c r="AF1002" s="78"/>
      <c r="AG1002" s="78"/>
      <c r="AH1002" s="78"/>
      <c r="AI1002" s="78"/>
      <c r="AJ1002" s="78"/>
      <c r="AK1002" s="78"/>
      <c r="AL1002" s="78"/>
      <c r="AM1002" s="78"/>
      <c r="AN1002" s="78"/>
      <c r="AO1002" s="78"/>
      <c r="AP1002" s="78"/>
      <c r="AQ1002" s="78"/>
      <c r="AR1002" s="78"/>
      <c r="AS1002" s="78"/>
      <c r="AT1002" s="78"/>
      <c r="AU1002" s="78"/>
      <c r="AV1002" s="78"/>
      <c r="AW1002" s="78"/>
      <c r="AX1002" s="78"/>
      <c r="AY1002" s="78"/>
      <c r="AZ1002" s="78"/>
      <c r="BA1002" s="78"/>
      <c r="BB1002" s="78"/>
      <c r="BC1002" s="78"/>
      <c r="BD1002" s="78"/>
      <c r="BE1002" s="78"/>
      <c r="BF1002" s="78"/>
      <c r="BG1002" s="78"/>
      <c r="BH1002" s="78"/>
      <c r="BI1002" s="78"/>
      <c r="BJ1002" s="78"/>
      <c r="BK1002" s="78"/>
      <c r="BL1002" s="78"/>
      <c r="BM1002" s="78"/>
      <c r="BN1002" s="78"/>
      <c r="BO1002" s="78"/>
      <c r="BP1002" s="78"/>
      <c r="BQ1002" s="78"/>
      <c r="BR1002" s="78"/>
      <c r="BS1002" s="78"/>
      <c r="BT1002" s="78"/>
      <c r="BU1002" s="10"/>
      <c r="BV1002" s="78"/>
      <c r="BW1002" s="78"/>
      <c r="BX1002" s="78"/>
      <c r="BY1002" s="78"/>
      <c r="BZ1002" s="78"/>
      <c r="CA1002" s="78"/>
      <c r="CB1002" s="78"/>
      <c r="CC1002" s="78"/>
      <c r="CD1002" s="78"/>
    </row>
    <row r="1003">
      <c r="A1003" s="10"/>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c r="AL1003" s="78"/>
      <c r="AM1003" s="78"/>
      <c r="AN1003" s="78"/>
      <c r="AO1003" s="78"/>
      <c r="AP1003" s="78"/>
      <c r="AQ1003" s="78"/>
      <c r="AR1003" s="78"/>
      <c r="AS1003" s="78"/>
      <c r="AT1003" s="78"/>
      <c r="AU1003" s="78"/>
      <c r="AV1003" s="78"/>
      <c r="AW1003" s="78"/>
      <c r="AX1003" s="78"/>
      <c r="AY1003" s="78"/>
      <c r="AZ1003" s="78"/>
      <c r="BA1003" s="78"/>
      <c r="BB1003" s="78"/>
      <c r="BC1003" s="78"/>
      <c r="BD1003" s="78"/>
      <c r="BE1003" s="78"/>
      <c r="BF1003" s="78"/>
      <c r="BG1003" s="78"/>
      <c r="BH1003" s="78"/>
      <c r="BI1003" s="78"/>
      <c r="BJ1003" s="78"/>
      <c r="BK1003" s="78"/>
      <c r="BL1003" s="78"/>
      <c r="BM1003" s="78"/>
      <c r="BN1003" s="78"/>
      <c r="BO1003" s="78"/>
      <c r="BP1003" s="78"/>
      <c r="BQ1003" s="78"/>
      <c r="BR1003" s="78"/>
      <c r="BS1003" s="78"/>
      <c r="BT1003" s="78"/>
      <c r="BU1003" s="10"/>
      <c r="BV1003" s="78"/>
      <c r="BW1003" s="78"/>
      <c r="BX1003" s="78"/>
      <c r="BY1003" s="78"/>
      <c r="BZ1003" s="78"/>
      <c r="CA1003" s="78"/>
      <c r="CB1003" s="78"/>
      <c r="CC1003" s="78"/>
      <c r="CD1003" s="7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25"/>
    <col customWidth="1" min="8" max="8" width="15.5"/>
  </cols>
  <sheetData>
    <row r="1">
      <c r="A1" s="7"/>
      <c r="B1" s="7"/>
      <c r="C1" s="7"/>
      <c r="D1" s="7"/>
      <c r="E1" s="7"/>
      <c r="F1" s="7"/>
      <c r="G1" s="7"/>
    </row>
    <row r="2">
      <c r="A2" s="12" t="s">
        <v>6</v>
      </c>
      <c r="B2" s="16" t="s">
        <v>7</v>
      </c>
      <c r="C2" s="18" t="s">
        <v>8</v>
      </c>
      <c r="D2" s="18" t="s">
        <v>9</v>
      </c>
      <c r="E2" s="21" t="s">
        <v>11</v>
      </c>
      <c r="F2" s="18" t="s">
        <v>13</v>
      </c>
      <c r="G2" s="16" t="s">
        <v>14</v>
      </c>
    </row>
    <row r="3">
      <c r="A3" s="24" t="s">
        <v>16</v>
      </c>
      <c r="B3" s="26">
        <v>10.0</v>
      </c>
      <c r="C3" s="30">
        <v>24.0</v>
      </c>
      <c r="D3" s="26">
        <v>20.0</v>
      </c>
      <c r="E3" s="43">
        <f t="shared" ref="E3:E5" si="1">D3*24/$C$7/2</f>
        <v>3</v>
      </c>
      <c r="F3" s="30">
        <f t="shared" ref="F3:F5" si="2">B3*C3*trunc(E3)</f>
        <v>720</v>
      </c>
      <c r="G3" s="51">
        <v>8.0</v>
      </c>
    </row>
    <row r="4">
      <c r="A4" s="24" t="s">
        <v>30</v>
      </c>
      <c r="B4" s="26">
        <v>15.0</v>
      </c>
      <c r="C4" s="30">
        <v>8.0</v>
      </c>
      <c r="D4" s="30">
        <v>40.0</v>
      </c>
      <c r="E4" s="43">
        <f t="shared" si="1"/>
        <v>6</v>
      </c>
      <c r="F4" s="30">
        <f t="shared" si="2"/>
        <v>720</v>
      </c>
      <c r="G4" s="51">
        <v>6.0</v>
      </c>
    </row>
    <row r="5">
      <c r="A5" s="24" t="s">
        <v>35</v>
      </c>
      <c r="B5" s="26">
        <v>12.0</v>
      </c>
      <c r="C5" s="30">
        <v>4.0</v>
      </c>
      <c r="D5" s="26">
        <v>14.0</v>
      </c>
      <c r="E5" s="43">
        <f t="shared" si="1"/>
        <v>2.1</v>
      </c>
      <c r="F5" s="30">
        <f t="shared" si="2"/>
        <v>96</v>
      </c>
      <c r="G5" s="51">
        <v>3.0</v>
      </c>
    </row>
    <row r="6">
      <c r="A6" s="7"/>
      <c r="B6" s="7"/>
      <c r="C6" s="7"/>
      <c r="D6" s="7"/>
      <c r="E6" s="7"/>
      <c r="F6" s="7"/>
      <c r="G6" s="7"/>
    </row>
    <row r="7">
      <c r="A7" s="61" t="s">
        <v>42</v>
      </c>
      <c r="B7" s="7"/>
      <c r="C7" s="61">
        <v>80.0</v>
      </c>
      <c r="D7" s="7"/>
      <c r="F7" s="30">
        <f>SUM(F3:F5)</f>
        <v>1536</v>
      </c>
      <c r="G7" s="61" t="s">
        <v>48</v>
      </c>
    </row>
    <row r="8">
      <c r="A8" s="7"/>
      <c r="B8" s="7"/>
      <c r="C8" s="7"/>
      <c r="D8" s="7"/>
      <c r="F8" s="7"/>
      <c r="G8" s="61"/>
    </row>
    <row r="9">
      <c r="A9" s="7"/>
      <c r="B9" s="7"/>
      <c r="C9" s="7"/>
      <c r="D9" s="7"/>
      <c r="E9" s="61" t="s">
        <v>51</v>
      </c>
      <c r="F9" s="61" t="s">
        <v>52</v>
      </c>
      <c r="G9" s="7"/>
      <c r="H9" s="61" t="s">
        <v>52</v>
      </c>
      <c r="I9" s="68" t="s">
        <v>54</v>
      </c>
    </row>
    <row r="10">
      <c r="A10" s="69" t="s">
        <v>56</v>
      </c>
      <c r="B10" s="70" t="s">
        <v>58</v>
      </c>
      <c r="C10" s="70" t="s">
        <v>58</v>
      </c>
      <c r="D10" s="61">
        <v>202609.0</v>
      </c>
      <c r="E10" s="61" t="str">
        <f t="shared" ref="E10:E46" si="3">CONCATENATE(D10,C10)</f>
        <v>20260901</v>
      </c>
      <c r="F10" s="7" t="str">
        <f t="shared" ref="F10:F46" si="4">CONCATENATE(E10,":",A10,B10)</f>
        <v>20260901:TA01</v>
      </c>
      <c r="G10" s="7"/>
      <c r="H10" s="7" t="s">
        <v>64</v>
      </c>
    </row>
    <row r="11">
      <c r="A11" s="69" t="s">
        <v>56</v>
      </c>
      <c r="B11" s="73" t="s">
        <v>65</v>
      </c>
      <c r="C11" s="70" t="s">
        <v>67</v>
      </c>
      <c r="D11" s="61">
        <v>202610.0</v>
      </c>
      <c r="E11" s="61" t="str">
        <f t="shared" si="3"/>
        <v>20261004</v>
      </c>
      <c r="F11" s="7" t="str">
        <f t="shared" si="4"/>
        <v>20261004:TA02</v>
      </c>
      <c r="G11" s="7"/>
      <c r="H11" s="7" t="s">
        <v>68</v>
      </c>
    </row>
    <row r="12">
      <c r="A12" s="69" t="s">
        <v>56</v>
      </c>
      <c r="B12" s="73" t="s">
        <v>69</v>
      </c>
      <c r="C12" s="70" t="s">
        <v>70</v>
      </c>
      <c r="D12" s="61">
        <v>202609.0</v>
      </c>
      <c r="E12" s="61" t="str">
        <f t="shared" si="3"/>
        <v>20260907</v>
      </c>
      <c r="F12" s="7" t="str">
        <f t="shared" si="4"/>
        <v>20260907:TA03</v>
      </c>
      <c r="G12" s="7"/>
      <c r="H12" s="61" t="s">
        <v>74</v>
      </c>
    </row>
    <row r="13">
      <c r="A13" s="69" t="s">
        <v>56</v>
      </c>
      <c r="B13" s="73" t="s">
        <v>67</v>
      </c>
      <c r="C13" s="70" t="s">
        <v>76</v>
      </c>
      <c r="D13" s="61">
        <v>202610.0</v>
      </c>
      <c r="E13" s="61" t="str">
        <f t="shared" si="3"/>
        <v>20261010</v>
      </c>
      <c r="F13" s="7" t="str">
        <f t="shared" si="4"/>
        <v>20261010:TA04</v>
      </c>
      <c r="G13" s="7"/>
      <c r="H13" s="7" t="s">
        <v>77</v>
      </c>
    </row>
    <row r="14">
      <c r="A14" s="69" t="s">
        <v>56</v>
      </c>
      <c r="B14" s="73" t="s">
        <v>78</v>
      </c>
      <c r="C14" s="73">
        <v>13.0</v>
      </c>
      <c r="D14" s="61">
        <v>202609.0</v>
      </c>
      <c r="E14" s="61" t="str">
        <f t="shared" si="3"/>
        <v>20260913</v>
      </c>
      <c r="F14" s="7" t="str">
        <f t="shared" si="4"/>
        <v>20260913:TA05</v>
      </c>
      <c r="G14" s="7"/>
      <c r="H14" s="7" t="s">
        <v>80</v>
      </c>
    </row>
    <row r="15">
      <c r="A15" s="69" t="s">
        <v>56</v>
      </c>
      <c r="B15" s="73" t="s">
        <v>81</v>
      </c>
      <c r="C15" s="73">
        <v>16.0</v>
      </c>
      <c r="D15" s="61">
        <v>202610.0</v>
      </c>
      <c r="E15" s="61" t="str">
        <f t="shared" si="3"/>
        <v>20261016</v>
      </c>
      <c r="F15" s="7" t="str">
        <f t="shared" si="4"/>
        <v>20261016:TA06</v>
      </c>
      <c r="G15" s="7"/>
      <c r="H15" s="7" t="s">
        <v>83</v>
      </c>
    </row>
    <row r="16">
      <c r="A16" s="69" t="s">
        <v>56</v>
      </c>
      <c r="B16" s="73" t="s">
        <v>70</v>
      </c>
      <c r="C16" s="73">
        <v>19.0</v>
      </c>
      <c r="D16" s="61">
        <v>202609.0</v>
      </c>
      <c r="E16" s="61" t="str">
        <f t="shared" si="3"/>
        <v>20260919</v>
      </c>
      <c r="F16" s="7" t="str">
        <f t="shared" si="4"/>
        <v>20260919:TA07</v>
      </c>
      <c r="G16" s="7"/>
      <c r="H16" s="61" t="s">
        <v>86</v>
      </c>
    </row>
    <row r="17">
      <c r="A17" s="69" t="s">
        <v>56</v>
      </c>
      <c r="B17" s="73" t="s">
        <v>87</v>
      </c>
      <c r="C17" s="73">
        <v>22.0</v>
      </c>
      <c r="D17" s="61">
        <v>202610.0</v>
      </c>
      <c r="E17" s="61" t="str">
        <f t="shared" si="3"/>
        <v>20261022</v>
      </c>
      <c r="F17" s="7" t="str">
        <f t="shared" si="4"/>
        <v>20261022:TA08</v>
      </c>
      <c r="G17" s="7"/>
      <c r="H17" s="7" t="s">
        <v>89</v>
      </c>
    </row>
    <row r="18">
      <c r="A18" s="69" t="s">
        <v>56</v>
      </c>
      <c r="B18" s="73" t="s">
        <v>90</v>
      </c>
      <c r="C18" s="73">
        <v>25.0</v>
      </c>
      <c r="D18" s="61">
        <v>202609.0</v>
      </c>
      <c r="E18" s="61" t="str">
        <f t="shared" si="3"/>
        <v>20260925</v>
      </c>
      <c r="F18" s="7" t="str">
        <f t="shared" si="4"/>
        <v>20260925:TA09</v>
      </c>
      <c r="G18" s="7"/>
      <c r="H18" s="7" t="s">
        <v>93</v>
      </c>
    </row>
    <row r="19">
      <c r="A19" s="69" t="s">
        <v>56</v>
      </c>
      <c r="B19" s="73" t="s">
        <v>76</v>
      </c>
      <c r="C19" s="73">
        <v>28.0</v>
      </c>
      <c r="D19" s="61">
        <v>202610.0</v>
      </c>
      <c r="E19" s="61" t="str">
        <f t="shared" si="3"/>
        <v>20261028</v>
      </c>
      <c r="F19" s="7" t="str">
        <f t="shared" si="4"/>
        <v>20261028:TA10</v>
      </c>
      <c r="G19" s="7"/>
      <c r="H19" s="7" t="s">
        <v>95</v>
      </c>
    </row>
    <row r="20">
      <c r="A20" s="61" t="s">
        <v>96</v>
      </c>
      <c r="B20" s="70" t="s">
        <v>58</v>
      </c>
      <c r="C20" s="70" t="s">
        <v>65</v>
      </c>
      <c r="D20" s="61">
        <v>202609.0</v>
      </c>
      <c r="E20" s="61" t="str">
        <f t="shared" si="3"/>
        <v>20260902</v>
      </c>
      <c r="F20" s="7" t="str">
        <f t="shared" si="4"/>
        <v>20260902:TB01</v>
      </c>
      <c r="G20" s="7"/>
      <c r="H20" s="61" t="s">
        <v>99</v>
      </c>
    </row>
    <row r="21">
      <c r="A21" s="61" t="s">
        <v>96</v>
      </c>
      <c r="B21" s="73" t="s">
        <v>65</v>
      </c>
      <c r="C21" s="70" t="s">
        <v>78</v>
      </c>
      <c r="D21" s="61">
        <v>202610.0</v>
      </c>
      <c r="E21" s="61" t="str">
        <f t="shared" si="3"/>
        <v>20261005</v>
      </c>
      <c r="F21" s="7" t="str">
        <f t="shared" si="4"/>
        <v>20261005:TB02</v>
      </c>
      <c r="G21" s="7"/>
      <c r="H21" s="7" t="s">
        <v>103</v>
      </c>
    </row>
    <row r="22">
      <c r="A22" s="61" t="s">
        <v>96</v>
      </c>
      <c r="B22" s="73" t="s">
        <v>69</v>
      </c>
      <c r="C22" s="85" t="s">
        <v>87</v>
      </c>
      <c r="D22" s="61">
        <v>202609.0</v>
      </c>
      <c r="E22" s="61" t="str">
        <f t="shared" si="3"/>
        <v>20260908</v>
      </c>
      <c r="F22" s="7" t="str">
        <f t="shared" si="4"/>
        <v>20260908:TB03</v>
      </c>
      <c r="G22" s="7"/>
      <c r="H22" s="7" t="s">
        <v>107</v>
      </c>
    </row>
    <row r="23">
      <c r="A23" s="61" t="s">
        <v>96</v>
      </c>
      <c r="B23" s="73" t="s">
        <v>67</v>
      </c>
      <c r="C23" s="86">
        <v>11.0</v>
      </c>
      <c r="D23" s="61">
        <v>202610.0</v>
      </c>
      <c r="E23" s="61" t="str">
        <f t="shared" si="3"/>
        <v>20261011</v>
      </c>
      <c r="F23" s="7" t="str">
        <f t="shared" si="4"/>
        <v>20261011:TB04</v>
      </c>
      <c r="G23" s="7"/>
      <c r="H23" s="7" t="s">
        <v>110</v>
      </c>
    </row>
    <row r="24">
      <c r="A24" s="61" t="s">
        <v>96</v>
      </c>
      <c r="B24" s="73" t="s">
        <v>78</v>
      </c>
      <c r="C24" s="86">
        <v>14.0</v>
      </c>
      <c r="D24" s="61">
        <v>202609.0</v>
      </c>
      <c r="E24" s="61" t="str">
        <f t="shared" si="3"/>
        <v>20260914</v>
      </c>
      <c r="F24" s="7" t="str">
        <f t="shared" si="4"/>
        <v>20260914:TB05</v>
      </c>
      <c r="G24" s="7"/>
      <c r="H24" s="61" t="s">
        <v>112</v>
      </c>
    </row>
    <row r="25">
      <c r="A25" s="61" t="s">
        <v>96</v>
      </c>
      <c r="B25" s="73" t="s">
        <v>81</v>
      </c>
      <c r="C25" s="86">
        <v>17.0</v>
      </c>
      <c r="D25" s="61">
        <v>202610.0</v>
      </c>
      <c r="E25" s="61" t="str">
        <f t="shared" si="3"/>
        <v>20261017</v>
      </c>
      <c r="F25" s="7" t="str">
        <f t="shared" si="4"/>
        <v>20261017:TB06</v>
      </c>
      <c r="G25" s="7"/>
      <c r="H25" s="7" t="s">
        <v>115</v>
      </c>
    </row>
    <row r="26">
      <c r="A26" s="61" t="s">
        <v>96</v>
      </c>
      <c r="B26" s="73" t="s">
        <v>70</v>
      </c>
      <c r="C26" s="86">
        <v>20.0</v>
      </c>
      <c r="D26" s="61">
        <v>202609.0</v>
      </c>
      <c r="E26" s="61" t="str">
        <f t="shared" si="3"/>
        <v>20260920</v>
      </c>
      <c r="F26" s="7" t="str">
        <f t="shared" si="4"/>
        <v>20260920:TB07</v>
      </c>
      <c r="G26" s="7"/>
      <c r="H26" s="7" t="s">
        <v>120</v>
      </c>
    </row>
    <row r="27">
      <c r="A27" s="61" t="s">
        <v>96</v>
      </c>
      <c r="B27" s="73" t="s">
        <v>87</v>
      </c>
      <c r="C27" s="86">
        <v>23.0</v>
      </c>
      <c r="D27" s="61">
        <v>202610.0</v>
      </c>
      <c r="E27" s="61" t="str">
        <f t="shared" si="3"/>
        <v>20261023</v>
      </c>
      <c r="F27" s="7" t="str">
        <f t="shared" si="4"/>
        <v>20261023:TB08</v>
      </c>
      <c r="G27" s="7"/>
      <c r="H27" s="7" t="s">
        <v>123</v>
      </c>
    </row>
    <row r="28">
      <c r="A28" s="61" t="s">
        <v>96</v>
      </c>
      <c r="B28" s="73" t="s">
        <v>90</v>
      </c>
      <c r="C28" s="86">
        <v>26.0</v>
      </c>
      <c r="D28" s="61">
        <v>202609.0</v>
      </c>
      <c r="E28" s="61" t="str">
        <f t="shared" si="3"/>
        <v>20260926</v>
      </c>
      <c r="F28" s="7" t="str">
        <f t="shared" si="4"/>
        <v>20260926:TB09</v>
      </c>
      <c r="G28" s="7"/>
      <c r="H28" s="61" t="s">
        <v>126</v>
      </c>
    </row>
    <row r="29">
      <c r="A29" s="61" t="s">
        <v>96</v>
      </c>
      <c r="B29" s="73" t="s">
        <v>76</v>
      </c>
      <c r="C29" s="85" t="s">
        <v>69</v>
      </c>
      <c r="D29" s="61">
        <v>202610.0</v>
      </c>
      <c r="E29" s="61" t="str">
        <f t="shared" si="3"/>
        <v>20261003</v>
      </c>
      <c r="F29" s="7" t="str">
        <f t="shared" si="4"/>
        <v>20261003:TB10</v>
      </c>
      <c r="G29" s="7"/>
      <c r="H29" s="7" t="s">
        <v>130</v>
      </c>
    </row>
    <row r="30">
      <c r="A30" s="61" t="s">
        <v>96</v>
      </c>
      <c r="B30" s="73">
        <v>11.0</v>
      </c>
      <c r="C30" s="85" t="s">
        <v>81</v>
      </c>
      <c r="D30" s="61">
        <v>202609.0</v>
      </c>
      <c r="E30" s="61" t="str">
        <f t="shared" si="3"/>
        <v>20260906</v>
      </c>
      <c r="F30" s="7" t="str">
        <f t="shared" si="4"/>
        <v>20260906:TB11</v>
      </c>
      <c r="G30" s="7"/>
      <c r="H30" s="7" t="s">
        <v>133</v>
      </c>
    </row>
    <row r="31">
      <c r="A31" s="61" t="s">
        <v>96</v>
      </c>
      <c r="B31" s="73">
        <v>12.0</v>
      </c>
      <c r="C31" s="85" t="s">
        <v>90</v>
      </c>
      <c r="D31" s="61">
        <v>202610.0</v>
      </c>
      <c r="E31" s="61" t="str">
        <f t="shared" si="3"/>
        <v>20261009</v>
      </c>
      <c r="F31" s="7" t="str">
        <f t="shared" si="4"/>
        <v>20261009:TB12</v>
      </c>
      <c r="G31" s="7"/>
      <c r="H31" s="7" t="s">
        <v>136</v>
      </c>
    </row>
    <row r="32">
      <c r="A32" s="61" t="s">
        <v>137</v>
      </c>
      <c r="B32" s="70" t="s">
        <v>58</v>
      </c>
      <c r="C32" s="86">
        <v>12.0</v>
      </c>
      <c r="D32" s="61">
        <v>202609.0</v>
      </c>
      <c r="E32" s="61" t="str">
        <f t="shared" si="3"/>
        <v>20260912</v>
      </c>
      <c r="F32" s="7" t="str">
        <f t="shared" si="4"/>
        <v>20260912:TM01</v>
      </c>
      <c r="G32" s="7"/>
      <c r="H32" s="61" t="s">
        <v>140</v>
      </c>
    </row>
    <row r="33">
      <c r="A33" s="61" t="s">
        <v>137</v>
      </c>
      <c r="B33" s="73" t="s">
        <v>65</v>
      </c>
      <c r="C33" s="86">
        <v>15.0</v>
      </c>
      <c r="D33" s="61">
        <v>202610.0</v>
      </c>
      <c r="E33" s="61" t="str">
        <f t="shared" si="3"/>
        <v>20261015</v>
      </c>
      <c r="F33" s="7" t="str">
        <f t="shared" si="4"/>
        <v>20261015:TM02</v>
      </c>
      <c r="G33" s="7"/>
      <c r="H33" s="7" t="s">
        <v>142</v>
      </c>
    </row>
    <row r="34">
      <c r="A34" s="61" t="s">
        <v>137</v>
      </c>
      <c r="B34" s="73" t="s">
        <v>69</v>
      </c>
      <c r="C34" s="86">
        <v>18.0</v>
      </c>
      <c r="D34" s="61">
        <v>202609.0</v>
      </c>
      <c r="E34" s="61" t="str">
        <f t="shared" si="3"/>
        <v>20260918</v>
      </c>
      <c r="F34" s="7" t="str">
        <f t="shared" si="4"/>
        <v>20260918:TM03</v>
      </c>
      <c r="G34" s="7"/>
      <c r="H34" s="7" t="s">
        <v>146</v>
      </c>
    </row>
    <row r="35">
      <c r="A35" s="61" t="s">
        <v>137</v>
      </c>
      <c r="B35" s="73" t="s">
        <v>67</v>
      </c>
      <c r="C35" s="86">
        <v>21.0</v>
      </c>
      <c r="D35" s="61">
        <v>202610.0</v>
      </c>
      <c r="E35" s="61" t="str">
        <f t="shared" si="3"/>
        <v>20261021</v>
      </c>
      <c r="F35" s="7" t="str">
        <f t="shared" si="4"/>
        <v>20261021:TM04</v>
      </c>
      <c r="G35" s="7"/>
      <c r="H35" s="7" t="s">
        <v>149</v>
      </c>
    </row>
    <row r="36">
      <c r="A36" s="61" t="s">
        <v>137</v>
      </c>
      <c r="B36" s="73" t="s">
        <v>78</v>
      </c>
      <c r="C36" s="86">
        <v>24.0</v>
      </c>
      <c r="D36" s="61">
        <v>202609.0</v>
      </c>
      <c r="E36" s="61" t="str">
        <f t="shared" si="3"/>
        <v>20260924</v>
      </c>
      <c r="F36" s="7" t="str">
        <f t="shared" si="4"/>
        <v>20260924:TM05</v>
      </c>
      <c r="H36" s="61" t="s">
        <v>150</v>
      </c>
    </row>
    <row r="37">
      <c r="A37" s="61" t="s">
        <v>137</v>
      </c>
      <c r="B37" s="73" t="s">
        <v>81</v>
      </c>
      <c r="C37" s="86">
        <v>27.0</v>
      </c>
      <c r="D37" s="61">
        <v>202610.0</v>
      </c>
      <c r="E37" s="61" t="str">
        <f t="shared" si="3"/>
        <v>20261027</v>
      </c>
      <c r="F37" s="7" t="str">
        <f t="shared" si="4"/>
        <v>20261027:TM06</v>
      </c>
      <c r="H37" s="7" t="s">
        <v>151</v>
      </c>
    </row>
    <row r="38">
      <c r="A38" s="61" t="s">
        <v>137</v>
      </c>
      <c r="B38" s="73" t="s">
        <v>70</v>
      </c>
      <c r="C38" s="70" t="s">
        <v>65</v>
      </c>
      <c r="D38" s="61">
        <v>202609.0</v>
      </c>
      <c r="E38" s="61" t="str">
        <f t="shared" si="3"/>
        <v>20260902</v>
      </c>
      <c r="F38" s="7" t="str">
        <f t="shared" si="4"/>
        <v>20260902:TM07</v>
      </c>
      <c r="H38" s="7" t="s">
        <v>162</v>
      </c>
    </row>
    <row r="39">
      <c r="A39" s="61" t="s">
        <v>137</v>
      </c>
      <c r="B39" s="73" t="s">
        <v>87</v>
      </c>
      <c r="C39" s="70" t="s">
        <v>78</v>
      </c>
      <c r="D39" s="61">
        <v>202610.0</v>
      </c>
      <c r="E39" s="61" t="str">
        <f t="shared" si="3"/>
        <v>20261005</v>
      </c>
      <c r="F39" s="7" t="str">
        <f t="shared" si="4"/>
        <v>20261005:TM08</v>
      </c>
      <c r="H39" s="7" t="s">
        <v>163</v>
      </c>
    </row>
    <row r="40">
      <c r="A40" s="61" t="s">
        <v>137</v>
      </c>
      <c r="B40" s="73" t="s">
        <v>90</v>
      </c>
      <c r="C40" s="85" t="s">
        <v>87</v>
      </c>
      <c r="D40" s="61">
        <v>202609.0</v>
      </c>
      <c r="E40" s="61" t="str">
        <f t="shared" si="3"/>
        <v>20260908</v>
      </c>
      <c r="F40" s="7" t="str">
        <f t="shared" si="4"/>
        <v>20260908:TM09</v>
      </c>
      <c r="H40" s="61" t="s">
        <v>164</v>
      </c>
    </row>
    <row r="41">
      <c r="A41" s="61" t="s">
        <v>137</v>
      </c>
      <c r="B41" s="73" t="s">
        <v>76</v>
      </c>
      <c r="C41" s="86">
        <v>11.0</v>
      </c>
      <c r="D41" s="61">
        <v>202610.0</v>
      </c>
      <c r="E41" s="61" t="str">
        <f t="shared" si="3"/>
        <v>20261011</v>
      </c>
      <c r="F41" s="7" t="str">
        <f t="shared" si="4"/>
        <v>20261011:TM10</v>
      </c>
      <c r="H41" s="7" t="s">
        <v>167</v>
      </c>
    </row>
    <row r="42">
      <c r="A42" s="61" t="s">
        <v>137</v>
      </c>
      <c r="B42" s="73">
        <v>11.0</v>
      </c>
      <c r="C42" s="86">
        <v>14.0</v>
      </c>
      <c r="D42" s="61">
        <v>202609.0</v>
      </c>
      <c r="E42" s="61" t="str">
        <f t="shared" si="3"/>
        <v>20260914</v>
      </c>
      <c r="F42" s="7" t="str">
        <f t="shared" si="4"/>
        <v>20260914:TM11</v>
      </c>
      <c r="H42" s="7" t="s">
        <v>169</v>
      </c>
    </row>
    <row r="43">
      <c r="A43" s="61" t="s">
        <v>137</v>
      </c>
      <c r="B43" s="73">
        <v>12.0</v>
      </c>
      <c r="C43" s="86">
        <v>17.0</v>
      </c>
      <c r="D43" s="61">
        <v>202610.0</v>
      </c>
      <c r="E43" s="61" t="str">
        <f t="shared" si="3"/>
        <v>20261017</v>
      </c>
      <c r="F43" s="7" t="str">
        <f t="shared" si="4"/>
        <v>20261017:TM12</v>
      </c>
      <c r="H43" s="7" t="s">
        <v>171</v>
      </c>
    </row>
    <row r="44">
      <c r="A44" s="61" t="s">
        <v>137</v>
      </c>
      <c r="B44" s="86">
        <v>13.0</v>
      </c>
      <c r="C44" s="86">
        <v>20.0</v>
      </c>
      <c r="D44" s="61">
        <v>202609.0</v>
      </c>
      <c r="E44" s="61" t="str">
        <f t="shared" si="3"/>
        <v>20260920</v>
      </c>
      <c r="F44" s="7" t="str">
        <f t="shared" si="4"/>
        <v>20260920:TM13</v>
      </c>
      <c r="H44" s="61" t="s">
        <v>173</v>
      </c>
    </row>
    <row r="45">
      <c r="A45" s="61" t="s">
        <v>137</v>
      </c>
      <c r="B45" s="86">
        <v>14.0</v>
      </c>
      <c r="C45" s="86">
        <v>23.0</v>
      </c>
      <c r="D45" s="61">
        <v>202610.0</v>
      </c>
      <c r="E45" s="61" t="str">
        <f t="shared" si="3"/>
        <v>20261023</v>
      </c>
      <c r="F45" s="7" t="str">
        <f t="shared" si="4"/>
        <v>20261023:TM14</v>
      </c>
      <c r="H45" s="7" t="s">
        <v>174</v>
      </c>
    </row>
    <row r="46">
      <c r="A46" s="61" t="s">
        <v>137</v>
      </c>
      <c r="B46" s="86">
        <v>15.0</v>
      </c>
      <c r="C46" s="86">
        <v>26.0</v>
      </c>
      <c r="D46" s="61">
        <v>202609.0</v>
      </c>
      <c r="E46" s="61" t="str">
        <f t="shared" si="3"/>
        <v>20260926</v>
      </c>
      <c r="F46" s="7" t="str">
        <f t="shared" si="4"/>
        <v>20260926:TM15</v>
      </c>
      <c r="H46" s="7" t="s">
        <v>176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3.0"/>
    <col customWidth="1" min="2" max="2" width="11.13"/>
    <col customWidth="1" min="3" max="3" width="4.88"/>
    <col customWidth="1" min="4" max="4" width="98.25"/>
    <col customWidth="1" min="5" max="5" width="15.63"/>
  </cols>
  <sheetData>
    <row r="1">
      <c r="A1" s="116" t="s">
        <v>0</v>
      </c>
      <c r="B1" s="117">
        <f>NOW()</f>
        <v>46274.8104</v>
      </c>
      <c r="C1" s="5"/>
      <c r="D1" s="5" t="str">
        <f>PR_Proyecto!D1</f>
        <v>1INF54 Proyecto de Diseño y Desarrollo de Software</v>
      </c>
      <c r="E1" s="118" t="s">
        <v>3</v>
      </c>
      <c r="F1" s="120"/>
      <c r="G1" s="122"/>
      <c r="H1" s="123"/>
      <c r="I1" s="123"/>
      <c r="J1" s="123"/>
      <c r="K1" s="123"/>
      <c r="L1" s="123"/>
      <c r="M1" s="123"/>
      <c r="N1" s="124"/>
      <c r="O1" s="124"/>
      <c r="P1" s="124"/>
      <c r="Q1" s="124"/>
      <c r="R1" s="124"/>
      <c r="S1" s="124"/>
      <c r="T1" s="124"/>
      <c r="U1" s="124"/>
      <c r="V1" s="124"/>
      <c r="W1" s="124"/>
      <c r="X1" s="124"/>
      <c r="Y1" s="124"/>
      <c r="Z1" s="124"/>
      <c r="AA1" s="124"/>
      <c r="AB1" s="124"/>
    </row>
    <row r="2">
      <c r="A2" s="125">
        <f>B2</f>
        <v>24</v>
      </c>
      <c r="B2" s="27">
        <v>24.0</v>
      </c>
      <c r="C2" s="29"/>
      <c r="D2" s="32"/>
      <c r="E2" s="127" t="s">
        <v>18</v>
      </c>
      <c r="F2" s="120"/>
      <c r="G2" s="122"/>
      <c r="H2" s="123"/>
      <c r="I2" s="123"/>
      <c r="J2" s="123"/>
      <c r="K2" s="123"/>
      <c r="L2" s="123"/>
      <c r="M2" s="123"/>
      <c r="N2" s="124"/>
      <c r="O2" s="124"/>
      <c r="P2" s="124"/>
      <c r="Q2" s="124"/>
      <c r="R2" s="124"/>
      <c r="S2" s="124"/>
      <c r="T2" s="124"/>
      <c r="U2" s="124"/>
      <c r="V2" s="124"/>
      <c r="W2" s="124"/>
      <c r="X2" s="124"/>
      <c r="Y2" s="124"/>
      <c r="Z2" s="124"/>
      <c r="AA2" s="124"/>
      <c r="AB2" s="124"/>
    </row>
    <row r="3">
      <c r="A3" s="128"/>
      <c r="B3" s="36"/>
      <c r="C3" s="37"/>
      <c r="D3" s="38" t="s">
        <v>21</v>
      </c>
      <c r="E3" s="129" t="s">
        <v>22</v>
      </c>
      <c r="F3" s="120"/>
      <c r="G3" s="122"/>
      <c r="H3" s="123"/>
      <c r="I3" s="123"/>
      <c r="J3" s="123"/>
      <c r="K3" s="123"/>
      <c r="L3" s="123"/>
      <c r="M3" s="123"/>
      <c r="N3" s="124"/>
      <c r="O3" s="124"/>
      <c r="P3" s="124"/>
      <c r="Q3" s="124"/>
      <c r="R3" s="124"/>
      <c r="S3" s="124"/>
      <c r="T3" s="124"/>
      <c r="U3" s="124"/>
      <c r="V3" s="124"/>
      <c r="W3" s="124"/>
      <c r="X3" s="124"/>
      <c r="Y3" s="124"/>
      <c r="Z3" s="124"/>
      <c r="AA3" s="124"/>
      <c r="AB3" s="124"/>
    </row>
    <row r="4">
      <c r="A4" s="132">
        <f t="shared" ref="A4:A140" si="1">QUOTIENT(($B$1-B4)*24, $A$2)</f>
        <v>46274</v>
      </c>
      <c r="B4" s="49"/>
      <c r="C4" s="50"/>
      <c r="D4" s="52"/>
      <c r="E4" s="133" t="s">
        <v>31</v>
      </c>
      <c r="F4" s="134"/>
      <c r="G4" s="122"/>
      <c r="H4" s="123"/>
      <c r="I4" s="123"/>
      <c r="J4" s="123"/>
      <c r="K4" s="123"/>
      <c r="L4" s="123"/>
      <c r="M4" s="123"/>
      <c r="N4" s="124"/>
      <c r="O4" s="124"/>
      <c r="P4" s="124"/>
      <c r="Q4" s="124"/>
      <c r="R4" s="124"/>
      <c r="S4" s="124"/>
      <c r="T4" s="124"/>
      <c r="U4" s="124"/>
      <c r="V4" s="124"/>
      <c r="W4" s="124"/>
      <c r="X4" s="124"/>
      <c r="Y4" s="124"/>
      <c r="Z4" s="124"/>
      <c r="AA4" s="124"/>
      <c r="AB4" s="124"/>
    </row>
    <row r="5">
      <c r="A5" s="132">
        <f t="shared" si="1"/>
        <v>46274</v>
      </c>
      <c r="B5" s="135"/>
      <c r="C5" s="136">
        <v>1.0</v>
      </c>
      <c r="D5" s="137"/>
      <c r="E5" s="15"/>
      <c r="F5" s="123"/>
      <c r="G5" s="123"/>
      <c r="H5" s="123"/>
      <c r="I5" s="123"/>
      <c r="J5" s="123"/>
      <c r="K5" s="123"/>
      <c r="L5" s="123"/>
      <c r="M5" s="123"/>
      <c r="N5" s="124"/>
      <c r="O5" s="124"/>
      <c r="P5" s="124"/>
      <c r="Q5" s="124"/>
      <c r="R5" s="124"/>
      <c r="S5" s="124"/>
      <c r="T5" s="124"/>
      <c r="U5" s="124"/>
      <c r="V5" s="124"/>
      <c r="W5" s="124"/>
      <c r="X5" s="124"/>
      <c r="Y5" s="124"/>
      <c r="Z5" s="124"/>
      <c r="AA5" s="124"/>
      <c r="AB5" s="124"/>
    </row>
    <row r="6" ht="27.75" customHeight="1">
      <c r="A6" s="132">
        <f t="shared" si="1"/>
        <v>46274</v>
      </c>
      <c r="B6" s="138"/>
      <c r="C6" s="139"/>
      <c r="D6" s="140"/>
      <c r="E6" s="141"/>
      <c r="F6" s="123"/>
      <c r="G6" s="123"/>
      <c r="H6" s="123"/>
      <c r="I6" s="123"/>
      <c r="J6" s="123"/>
      <c r="K6" s="123"/>
      <c r="L6" s="123"/>
      <c r="M6" s="123"/>
      <c r="N6" s="124"/>
      <c r="O6" s="124"/>
      <c r="P6" s="124"/>
      <c r="Q6" s="124"/>
      <c r="R6" s="124"/>
      <c r="S6" s="124"/>
      <c r="T6" s="124"/>
      <c r="U6" s="124"/>
      <c r="V6" s="124"/>
      <c r="W6" s="124"/>
      <c r="X6" s="124"/>
      <c r="Y6" s="124"/>
      <c r="Z6" s="124"/>
      <c r="AA6" s="124"/>
      <c r="AB6" s="124"/>
    </row>
    <row r="7">
      <c r="A7" s="132">
        <f t="shared" si="1"/>
        <v>46274</v>
      </c>
      <c r="B7" s="138"/>
      <c r="C7" s="139"/>
      <c r="D7" s="142"/>
      <c r="E7" s="15"/>
      <c r="F7" s="123"/>
      <c r="G7" s="123"/>
      <c r="H7" s="123"/>
      <c r="I7" s="123"/>
      <c r="J7" s="123"/>
      <c r="K7" s="123"/>
      <c r="L7" s="123"/>
      <c r="M7" s="123"/>
      <c r="N7" s="124"/>
      <c r="O7" s="124"/>
      <c r="P7" s="124"/>
      <c r="Q7" s="124"/>
      <c r="R7" s="124"/>
      <c r="S7" s="124"/>
      <c r="T7" s="124"/>
      <c r="U7" s="124"/>
      <c r="V7" s="124"/>
      <c r="W7" s="124"/>
      <c r="X7" s="124"/>
      <c r="Y7" s="124"/>
      <c r="Z7" s="124"/>
      <c r="AA7" s="124"/>
      <c r="AB7" s="124"/>
    </row>
    <row r="8">
      <c r="A8" s="132">
        <f t="shared" si="1"/>
        <v>46274</v>
      </c>
      <c r="B8" s="138"/>
      <c r="C8" s="136">
        <v>2.0</v>
      </c>
      <c r="D8" s="145"/>
      <c r="E8" s="15"/>
      <c r="F8" s="123"/>
      <c r="G8" s="123"/>
      <c r="H8" s="123"/>
      <c r="I8" s="123"/>
      <c r="J8" s="123"/>
      <c r="K8" s="123"/>
      <c r="L8" s="123"/>
      <c r="M8" s="123"/>
      <c r="N8" s="124"/>
      <c r="O8" s="124"/>
      <c r="P8" s="124"/>
      <c r="Q8" s="124"/>
      <c r="R8" s="124"/>
      <c r="S8" s="124"/>
      <c r="T8" s="124"/>
      <c r="U8" s="124"/>
      <c r="V8" s="124"/>
      <c r="W8" s="124"/>
      <c r="X8" s="124"/>
      <c r="Y8" s="124"/>
      <c r="Z8" s="124"/>
      <c r="AA8" s="124"/>
      <c r="AB8" s="124"/>
    </row>
    <row r="9">
      <c r="A9" s="132">
        <f t="shared" si="1"/>
        <v>46274</v>
      </c>
      <c r="B9" s="138"/>
      <c r="C9" s="146"/>
      <c r="D9" s="147"/>
      <c r="E9" s="15"/>
      <c r="F9" s="123"/>
      <c r="G9" s="123"/>
      <c r="H9" s="123"/>
      <c r="I9" s="123"/>
      <c r="J9" s="123"/>
      <c r="K9" s="123"/>
      <c r="L9" s="123"/>
      <c r="M9" s="123"/>
      <c r="N9" s="124"/>
      <c r="O9" s="124"/>
      <c r="P9" s="124"/>
      <c r="Q9" s="124"/>
      <c r="R9" s="124"/>
      <c r="S9" s="124"/>
      <c r="T9" s="124"/>
      <c r="U9" s="124"/>
      <c r="V9" s="124"/>
      <c r="W9" s="124"/>
      <c r="X9" s="124"/>
      <c r="Y9" s="124"/>
      <c r="Z9" s="124"/>
      <c r="AA9" s="124"/>
      <c r="AB9" s="124"/>
    </row>
    <row r="10">
      <c r="A10" s="132">
        <f t="shared" si="1"/>
        <v>46274</v>
      </c>
      <c r="B10" s="138"/>
      <c r="C10" s="50"/>
      <c r="D10" s="52"/>
      <c r="E10" s="15"/>
      <c r="F10" s="123"/>
      <c r="G10" s="123"/>
      <c r="H10" s="123"/>
      <c r="I10" s="123"/>
      <c r="J10" s="123"/>
      <c r="K10" s="123"/>
      <c r="L10" s="123"/>
      <c r="M10" s="123"/>
      <c r="N10" s="124"/>
      <c r="O10" s="124"/>
      <c r="P10" s="124"/>
      <c r="Q10" s="124"/>
      <c r="R10" s="124"/>
      <c r="S10" s="124"/>
      <c r="T10" s="124"/>
      <c r="U10" s="124"/>
      <c r="V10" s="124"/>
      <c r="W10" s="124"/>
      <c r="X10" s="124"/>
      <c r="Y10" s="124"/>
      <c r="Z10" s="124"/>
      <c r="AA10" s="124"/>
      <c r="AB10" s="124"/>
    </row>
    <row r="11">
      <c r="A11" s="132">
        <f t="shared" si="1"/>
        <v>46274</v>
      </c>
      <c r="B11" s="138"/>
      <c r="C11" s="136">
        <v>3.0</v>
      </c>
      <c r="D11" s="148"/>
      <c r="E11" s="15"/>
      <c r="F11" s="15"/>
      <c r="G11" s="15"/>
      <c r="H11" s="15"/>
      <c r="I11" s="15"/>
      <c r="J11" s="15"/>
      <c r="K11" s="15"/>
      <c r="L11" s="15"/>
      <c r="M11" s="123"/>
      <c r="N11" s="124"/>
      <c r="O11" s="124"/>
      <c r="P11" s="124"/>
      <c r="Q11" s="124"/>
      <c r="R11" s="124"/>
      <c r="S11" s="124"/>
      <c r="T11" s="124"/>
      <c r="U11" s="124"/>
      <c r="V11" s="124"/>
      <c r="W11" s="124"/>
      <c r="X11" s="124"/>
      <c r="Y11" s="124"/>
      <c r="Z11" s="124"/>
      <c r="AA11" s="124"/>
      <c r="AB11" s="124"/>
    </row>
    <row r="12">
      <c r="A12" s="132">
        <f t="shared" si="1"/>
        <v>46274</v>
      </c>
      <c r="B12" s="138"/>
      <c r="C12" s="150"/>
      <c r="D12" s="151"/>
      <c r="E12" s="15"/>
      <c r="F12" s="15"/>
      <c r="G12" s="15"/>
      <c r="H12" s="15"/>
      <c r="I12" s="15"/>
      <c r="J12" s="15"/>
      <c r="K12" s="15"/>
      <c r="L12" s="15"/>
      <c r="M12" s="123"/>
      <c r="N12" s="124"/>
      <c r="O12" s="124"/>
      <c r="P12" s="124"/>
      <c r="Q12" s="124"/>
      <c r="R12" s="124"/>
      <c r="S12" s="124"/>
      <c r="T12" s="124"/>
      <c r="U12" s="124"/>
      <c r="V12" s="124"/>
      <c r="W12" s="124"/>
      <c r="X12" s="124"/>
      <c r="Y12" s="124"/>
      <c r="Z12" s="124"/>
      <c r="AA12" s="124"/>
      <c r="AB12" s="124"/>
    </row>
    <row r="13" ht="16.5" customHeight="1">
      <c r="A13" s="132">
        <f t="shared" si="1"/>
        <v>46274</v>
      </c>
      <c r="B13" s="138"/>
      <c r="C13" s="152"/>
      <c r="D13" s="153"/>
      <c r="E13" s="15"/>
      <c r="F13" s="15"/>
      <c r="G13" s="15"/>
      <c r="H13" s="15"/>
      <c r="I13" s="15"/>
      <c r="J13" s="15"/>
      <c r="K13" s="15"/>
      <c r="L13" s="15"/>
      <c r="M13" s="123"/>
      <c r="N13" s="124"/>
      <c r="O13" s="124"/>
      <c r="P13" s="124"/>
      <c r="Q13" s="124"/>
      <c r="R13" s="124"/>
      <c r="S13" s="124"/>
      <c r="T13" s="124"/>
      <c r="U13" s="124"/>
      <c r="V13" s="124"/>
      <c r="W13" s="124"/>
      <c r="X13" s="124"/>
      <c r="Y13" s="124"/>
      <c r="Z13" s="124"/>
      <c r="AA13" s="124"/>
      <c r="AB13" s="124"/>
    </row>
    <row r="14">
      <c r="A14" s="132">
        <f t="shared" si="1"/>
        <v>46274</v>
      </c>
      <c r="B14" s="138"/>
      <c r="C14" s="136">
        <v>4.0</v>
      </c>
      <c r="D14" s="148"/>
      <c r="E14" s="15"/>
      <c r="F14" s="15"/>
      <c r="G14" s="15"/>
      <c r="H14" s="15"/>
      <c r="I14" s="15"/>
      <c r="J14" s="15"/>
      <c r="K14" s="15"/>
      <c r="L14" s="15"/>
      <c r="M14" s="123"/>
      <c r="N14" s="124"/>
      <c r="O14" s="124"/>
      <c r="P14" s="124"/>
      <c r="Q14" s="124"/>
      <c r="R14" s="124"/>
      <c r="S14" s="124"/>
      <c r="T14" s="124"/>
      <c r="U14" s="124"/>
      <c r="V14" s="124"/>
      <c r="W14" s="124"/>
      <c r="X14" s="124"/>
      <c r="Y14" s="124"/>
      <c r="Z14" s="124"/>
      <c r="AA14" s="124"/>
      <c r="AB14" s="124"/>
    </row>
    <row r="15">
      <c r="A15" s="132">
        <f t="shared" si="1"/>
        <v>46274</v>
      </c>
      <c r="B15" s="138"/>
      <c r="C15" s="154"/>
      <c r="D15" s="155"/>
      <c r="E15" s="15"/>
      <c r="F15" s="15"/>
      <c r="G15" s="15"/>
      <c r="H15" s="15"/>
      <c r="I15" s="15"/>
      <c r="J15" s="15"/>
      <c r="K15" s="15"/>
      <c r="L15" s="15"/>
      <c r="M15" s="123"/>
      <c r="N15" s="124"/>
      <c r="O15" s="124"/>
      <c r="P15" s="124"/>
      <c r="Q15" s="124"/>
      <c r="R15" s="124"/>
      <c r="S15" s="124"/>
      <c r="T15" s="124"/>
      <c r="U15" s="124"/>
      <c r="V15" s="124"/>
      <c r="W15" s="124"/>
      <c r="X15" s="124"/>
      <c r="Y15" s="124"/>
      <c r="Z15" s="124"/>
      <c r="AA15" s="124"/>
      <c r="AB15" s="124"/>
    </row>
    <row r="16">
      <c r="A16" s="132">
        <f t="shared" si="1"/>
        <v>46274</v>
      </c>
      <c r="B16" s="138"/>
      <c r="C16" s="152"/>
      <c r="D16" s="153"/>
      <c r="E16" s="15"/>
      <c r="F16" s="15"/>
      <c r="G16" s="15"/>
      <c r="H16" s="15"/>
      <c r="I16" s="15"/>
      <c r="J16" s="15"/>
      <c r="K16" s="15"/>
      <c r="L16" s="15"/>
      <c r="M16" s="123"/>
      <c r="N16" s="124"/>
      <c r="O16" s="124"/>
      <c r="P16" s="124"/>
      <c r="Q16" s="124"/>
      <c r="R16" s="124"/>
      <c r="S16" s="124"/>
      <c r="T16" s="124"/>
      <c r="U16" s="124"/>
      <c r="V16" s="124"/>
      <c r="W16" s="124"/>
      <c r="X16" s="124"/>
      <c r="Y16" s="124"/>
      <c r="Z16" s="124"/>
      <c r="AA16" s="124"/>
      <c r="AB16" s="124"/>
    </row>
    <row r="17">
      <c r="A17" s="132">
        <f t="shared" si="1"/>
        <v>46274</v>
      </c>
      <c r="B17" s="138"/>
      <c r="C17" s="136">
        <v>5.0</v>
      </c>
      <c r="D17" s="148"/>
      <c r="E17" s="15"/>
      <c r="F17" s="15"/>
      <c r="G17" s="15"/>
      <c r="H17" s="15"/>
      <c r="I17" s="15"/>
      <c r="J17" s="15"/>
      <c r="K17" s="15"/>
      <c r="L17" s="15"/>
      <c r="M17" s="123"/>
      <c r="N17" s="124"/>
      <c r="O17" s="124"/>
      <c r="P17" s="124"/>
      <c r="Q17" s="124"/>
      <c r="R17" s="124"/>
      <c r="S17" s="124"/>
      <c r="T17" s="124"/>
      <c r="U17" s="124"/>
      <c r="V17" s="124"/>
      <c r="W17" s="124"/>
      <c r="X17" s="124"/>
      <c r="Y17" s="124"/>
      <c r="Z17" s="124"/>
      <c r="AA17" s="124"/>
      <c r="AB17" s="124"/>
    </row>
    <row r="18">
      <c r="A18" s="132">
        <f t="shared" si="1"/>
        <v>46274</v>
      </c>
      <c r="B18" s="138"/>
      <c r="C18" s="152"/>
      <c r="D18" s="153"/>
      <c r="E18" s="15"/>
      <c r="F18" s="15"/>
      <c r="G18" s="15"/>
      <c r="H18" s="15"/>
      <c r="I18" s="15"/>
      <c r="J18" s="15"/>
      <c r="K18" s="15"/>
      <c r="L18" s="15"/>
      <c r="M18" s="123"/>
      <c r="N18" s="124"/>
      <c r="O18" s="124"/>
      <c r="P18" s="124"/>
      <c r="Q18" s="124"/>
      <c r="R18" s="124"/>
      <c r="S18" s="124"/>
      <c r="T18" s="124"/>
      <c r="U18" s="124"/>
      <c r="V18" s="124"/>
      <c r="W18" s="124"/>
      <c r="X18" s="124"/>
      <c r="Y18" s="124"/>
      <c r="Z18" s="124"/>
      <c r="AA18" s="124"/>
      <c r="AB18" s="124"/>
    </row>
    <row r="19">
      <c r="A19" s="132">
        <f t="shared" si="1"/>
        <v>46274</v>
      </c>
      <c r="B19" s="138"/>
      <c r="C19" s="152"/>
      <c r="D19" s="153"/>
      <c r="E19" s="15"/>
      <c r="F19" s="15"/>
      <c r="G19" s="15"/>
      <c r="H19" s="15"/>
      <c r="I19" s="15"/>
      <c r="J19" s="15"/>
      <c r="K19" s="15"/>
      <c r="L19" s="15"/>
      <c r="M19" s="123"/>
      <c r="N19" s="124"/>
      <c r="O19" s="124"/>
      <c r="P19" s="124"/>
      <c r="Q19" s="124"/>
      <c r="R19" s="124"/>
      <c r="S19" s="124"/>
      <c r="T19" s="124"/>
      <c r="U19" s="124"/>
      <c r="V19" s="124"/>
      <c r="W19" s="124"/>
      <c r="X19" s="124"/>
      <c r="Y19" s="124"/>
      <c r="Z19" s="124"/>
      <c r="AA19" s="124"/>
      <c r="AB19" s="124"/>
    </row>
    <row r="20">
      <c r="A20" s="132">
        <f t="shared" si="1"/>
        <v>46274</v>
      </c>
      <c r="B20" s="138"/>
      <c r="C20" s="136">
        <v>6.0</v>
      </c>
      <c r="D20" s="158"/>
      <c r="E20" s="15"/>
      <c r="F20" s="15"/>
      <c r="G20" s="15"/>
      <c r="H20" s="15"/>
      <c r="I20" s="15"/>
      <c r="J20" s="15"/>
      <c r="K20" s="15"/>
      <c r="L20" s="15"/>
      <c r="M20" s="123"/>
      <c r="N20" s="124"/>
      <c r="O20" s="124"/>
      <c r="P20" s="124"/>
      <c r="Q20" s="124"/>
      <c r="R20" s="124"/>
      <c r="S20" s="124"/>
      <c r="T20" s="124"/>
      <c r="U20" s="124"/>
      <c r="V20" s="124"/>
      <c r="W20" s="124"/>
      <c r="X20" s="124"/>
      <c r="Y20" s="124"/>
      <c r="Z20" s="124"/>
      <c r="AA20" s="124"/>
      <c r="AB20" s="124"/>
    </row>
    <row r="21">
      <c r="A21" s="132">
        <f t="shared" si="1"/>
        <v>46274</v>
      </c>
      <c r="B21" s="138"/>
      <c r="C21" s="159"/>
      <c r="D21" s="160"/>
      <c r="E21" s="15"/>
      <c r="F21" s="15"/>
      <c r="G21" s="15"/>
      <c r="H21" s="15"/>
      <c r="I21" s="15"/>
      <c r="J21" s="15"/>
      <c r="K21" s="15"/>
      <c r="L21" s="15"/>
      <c r="M21" s="123"/>
      <c r="N21" s="124"/>
      <c r="O21" s="124"/>
      <c r="P21" s="124"/>
      <c r="Q21" s="124"/>
      <c r="R21" s="124"/>
      <c r="S21" s="124"/>
      <c r="T21" s="124"/>
      <c r="U21" s="124"/>
      <c r="V21" s="124"/>
      <c r="W21" s="124"/>
      <c r="X21" s="124"/>
      <c r="Y21" s="124"/>
      <c r="Z21" s="124"/>
      <c r="AA21" s="124"/>
      <c r="AB21" s="124"/>
    </row>
    <row r="22">
      <c r="A22" s="132">
        <f t="shared" si="1"/>
        <v>46274</v>
      </c>
      <c r="B22" s="138"/>
      <c r="C22" s="152"/>
      <c r="D22" s="161"/>
      <c r="E22" s="15"/>
      <c r="F22" s="15"/>
      <c r="G22" s="15"/>
      <c r="H22" s="15"/>
      <c r="I22" s="15"/>
      <c r="J22" s="15"/>
      <c r="K22" s="15"/>
      <c r="L22" s="15"/>
      <c r="M22" s="123"/>
      <c r="N22" s="124"/>
      <c r="O22" s="124"/>
      <c r="P22" s="124"/>
      <c r="Q22" s="124"/>
      <c r="R22" s="124"/>
      <c r="S22" s="124"/>
      <c r="T22" s="124"/>
      <c r="U22" s="124"/>
      <c r="V22" s="124"/>
      <c r="W22" s="124"/>
      <c r="X22" s="124"/>
      <c r="Y22" s="124"/>
      <c r="Z22" s="124"/>
      <c r="AA22" s="124"/>
      <c r="AB22" s="124"/>
    </row>
    <row r="23">
      <c r="A23" s="132">
        <f t="shared" si="1"/>
        <v>46274</v>
      </c>
      <c r="B23" s="138"/>
      <c r="C23" s="136">
        <v>7.0</v>
      </c>
      <c r="D23" s="158"/>
      <c r="E23" s="15"/>
      <c r="F23" s="15"/>
      <c r="G23" s="15"/>
      <c r="H23" s="15"/>
      <c r="I23" s="15"/>
      <c r="J23" s="15"/>
      <c r="K23" s="15"/>
      <c r="L23" s="15"/>
      <c r="M23" s="123"/>
      <c r="N23" s="124"/>
      <c r="O23" s="124"/>
      <c r="P23" s="124"/>
      <c r="Q23" s="124"/>
      <c r="R23" s="124"/>
      <c r="S23" s="124"/>
      <c r="T23" s="124"/>
      <c r="U23" s="124"/>
      <c r="V23" s="124"/>
      <c r="W23" s="124"/>
      <c r="X23" s="124"/>
      <c r="Y23" s="124"/>
      <c r="Z23" s="124"/>
      <c r="AA23" s="124"/>
      <c r="AB23" s="124"/>
    </row>
    <row r="24">
      <c r="A24" s="132">
        <f t="shared" si="1"/>
        <v>46274</v>
      </c>
      <c r="B24" s="138"/>
      <c r="C24" s="154"/>
      <c r="D24" s="151"/>
      <c r="E24" s="15"/>
      <c r="F24" s="15"/>
      <c r="G24" s="15"/>
      <c r="H24" s="15"/>
      <c r="I24" s="15"/>
      <c r="J24" s="15"/>
      <c r="K24" s="15"/>
      <c r="L24" s="15"/>
      <c r="M24" s="123"/>
      <c r="N24" s="124"/>
      <c r="O24" s="124"/>
      <c r="P24" s="124"/>
      <c r="Q24" s="124"/>
      <c r="R24" s="124"/>
      <c r="S24" s="124"/>
      <c r="T24" s="124"/>
      <c r="U24" s="124"/>
      <c r="V24" s="124"/>
      <c r="W24" s="124"/>
      <c r="X24" s="124"/>
      <c r="Y24" s="124"/>
      <c r="Z24" s="124"/>
      <c r="AA24" s="124"/>
      <c r="AB24" s="124"/>
    </row>
    <row r="25" ht="15.0" customHeight="1">
      <c r="A25" s="132">
        <f t="shared" si="1"/>
        <v>46274</v>
      </c>
      <c r="B25" s="138"/>
      <c r="C25" s="152"/>
      <c r="D25" s="161"/>
      <c r="E25" s="15"/>
      <c r="F25" s="15"/>
      <c r="G25" s="15"/>
      <c r="H25" s="15"/>
      <c r="I25" s="15"/>
      <c r="J25" s="15"/>
      <c r="K25" s="15"/>
      <c r="L25" s="15"/>
      <c r="M25" s="123"/>
      <c r="N25" s="124"/>
      <c r="O25" s="124"/>
      <c r="P25" s="124"/>
      <c r="Q25" s="124"/>
      <c r="R25" s="124"/>
      <c r="S25" s="124"/>
      <c r="T25" s="124"/>
      <c r="U25" s="124"/>
      <c r="V25" s="124"/>
      <c r="W25" s="124"/>
      <c r="X25" s="124"/>
      <c r="Y25" s="124"/>
      <c r="Z25" s="124"/>
      <c r="AA25" s="124"/>
      <c r="AB25" s="124"/>
    </row>
    <row r="26">
      <c r="A26" s="132">
        <f t="shared" si="1"/>
        <v>46274</v>
      </c>
      <c r="B26" s="138"/>
      <c r="C26" s="136">
        <v>8.0</v>
      </c>
      <c r="D26" s="158"/>
      <c r="E26" s="15"/>
      <c r="F26" s="15"/>
      <c r="G26" s="15"/>
      <c r="H26" s="15"/>
      <c r="I26" s="15"/>
      <c r="J26" s="15"/>
      <c r="K26" s="15"/>
      <c r="L26" s="15"/>
      <c r="M26" s="123"/>
      <c r="N26" s="124"/>
      <c r="O26" s="124"/>
      <c r="P26" s="124"/>
      <c r="Q26" s="124"/>
      <c r="R26" s="124"/>
      <c r="S26" s="124"/>
      <c r="T26" s="124"/>
      <c r="U26" s="124"/>
      <c r="V26" s="124"/>
      <c r="W26" s="124"/>
      <c r="X26" s="124"/>
      <c r="Y26" s="124"/>
      <c r="Z26" s="124"/>
      <c r="AA26" s="124"/>
      <c r="AB26" s="124"/>
    </row>
    <row r="27">
      <c r="A27" s="132">
        <f t="shared" si="1"/>
        <v>46274</v>
      </c>
      <c r="B27" s="138"/>
      <c r="C27" s="154"/>
      <c r="D27" s="151"/>
      <c r="E27" s="15"/>
      <c r="F27" s="15"/>
      <c r="G27" s="15"/>
      <c r="H27" s="15"/>
      <c r="I27" s="15"/>
      <c r="J27" s="15"/>
      <c r="K27" s="15"/>
      <c r="L27" s="15"/>
      <c r="M27" s="123"/>
      <c r="N27" s="124"/>
      <c r="O27" s="124"/>
      <c r="P27" s="124"/>
      <c r="Q27" s="124"/>
      <c r="R27" s="124"/>
      <c r="S27" s="124"/>
      <c r="T27" s="124"/>
      <c r="U27" s="124"/>
      <c r="V27" s="124"/>
      <c r="W27" s="124"/>
      <c r="X27" s="124"/>
      <c r="Y27" s="124"/>
      <c r="Z27" s="124"/>
      <c r="AA27" s="124"/>
      <c r="AB27" s="124"/>
    </row>
    <row r="28">
      <c r="A28" s="132">
        <f t="shared" si="1"/>
        <v>46274</v>
      </c>
      <c r="B28" s="138"/>
      <c r="C28" s="152"/>
      <c r="D28" s="161"/>
      <c r="E28" s="15"/>
      <c r="F28" s="15"/>
      <c r="G28" s="15"/>
      <c r="H28" s="15"/>
      <c r="I28" s="15"/>
      <c r="J28" s="15"/>
      <c r="K28" s="15"/>
      <c r="L28" s="15"/>
      <c r="M28" s="123"/>
      <c r="N28" s="124"/>
      <c r="O28" s="124"/>
      <c r="P28" s="124"/>
      <c r="Q28" s="124"/>
      <c r="R28" s="124"/>
      <c r="S28" s="124"/>
      <c r="T28" s="124"/>
      <c r="U28" s="124"/>
      <c r="V28" s="124"/>
      <c r="W28" s="124"/>
      <c r="X28" s="124"/>
      <c r="Y28" s="124"/>
      <c r="Z28" s="124"/>
      <c r="AA28" s="124"/>
      <c r="AB28" s="124"/>
    </row>
    <row r="29">
      <c r="A29" s="132">
        <f t="shared" si="1"/>
        <v>46274</v>
      </c>
      <c r="B29" s="138"/>
      <c r="C29" s="136">
        <v>9.0</v>
      </c>
      <c r="D29" s="158"/>
      <c r="E29" s="15"/>
      <c r="F29" s="15"/>
      <c r="G29" s="15"/>
      <c r="H29" s="15"/>
      <c r="I29" s="15"/>
      <c r="J29" s="15"/>
      <c r="K29" s="15"/>
      <c r="L29" s="15"/>
      <c r="M29" s="123"/>
      <c r="N29" s="124"/>
      <c r="O29" s="124"/>
      <c r="P29" s="124"/>
      <c r="Q29" s="124"/>
      <c r="R29" s="124"/>
      <c r="S29" s="124"/>
      <c r="T29" s="124"/>
      <c r="U29" s="124"/>
      <c r="V29" s="124"/>
      <c r="W29" s="124"/>
      <c r="X29" s="124"/>
      <c r="Y29" s="124"/>
      <c r="Z29" s="124"/>
      <c r="AA29" s="124"/>
      <c r="AB29" s="124"/>
    </row>
    <row r="30">
      <c r="A30" s="132">
        <f t="shared" si="1"/>
        <v>46274</v>
      </c>
      <c r="B30" s="138"/>
      <c r="C30" s="164"/>
      <c r="D30" s="165"/>
      <c r="E30" s="15"/>
      <c r="F30" s="15"/>
      <c r="G30" s="15"/>
      <c r="H30" s="15"/>
      <c r="I30" s="15"/>
      <c r="J30" s="15"/>
      <c r="K30" s="15"/>
      <c r="L30" s="15"/>
      <c r="M30" s="123"/>
      <c r="N30" s="124"/>
      <c r="O30" s="124"/>
      <c r="P30" s="124"/>
      <c r="Q30" s="124"/>
      <c r="R30" s="124"/>
      <c r="S30" s="124"/>
      <c r="T30" s="124"/>
      <c r="U30" s="124"/>
      <c r="V30" s="124"/>
      <c r="W30" s="124"/>
      <c r="X30" s="124"/>
      <c r="Y30" s="124"/>
      <c r="Z30" s="124"/>
      <c r="AA30" s="124"/>
      <c r="AB30" s="124"/>
    </row>
    <row r="31">
      <c r="A31" s="132">
        <f t="shared" si="1"/>
        <v>46274</v>
      </c>
      <c r="B31" s="138"/>
      <c r="C31" s="152"/>
      <c r="D31" s="153"/>
      <c r="E31" s="15"/>
      <c r="F31" s="15"/>
      <c r="G31" s="15"/>
      <c r="H31" s="15"/>
      <c r="I31" s="15"/>
      <c r="J31" s="15"/>
      <c r="K31" s="15"/>
      <c r="L31" s="15"/>
      <c r="M31" s="123"/>
      <c r="N31" s="124"/>
      <c r="O31" s="124"/>
      <c r="P31" s="124"/>
      <c r="Q31" s="124"/>
      <c r="R31" s="124"/>
      <c r="S31" s="124"/>
      <c r="T31" s="124"/>
      <c r="U31" s="124"/>
      <c r="V31" s="124"/>
      <c r="W31" s="124"/>
      <c r="X31" s="124"/>
      <c r="Y31" s="124"/>
      <c r="Z31" s="124"/>
      <c r="AA31" s="124"/>
      <c r="AB31" s="124"/>
    </row>
    <row r="32">
      <c r="A32" s="132">
        <f t="shared" si="1"/>
        <v>46274</v>
      </c>
      <c r="B32" s="138"/>
      <c r="C32" s="136">
        <v>10.0</v>
      </c>
      <c r="D32" s="148"/>
      <c r="E32" s="15"/>
      <c r="F32" s="15"/>
      <c r="G32" s="15"/>
      <c r="H32" s="15"/>
      <c r="I32" s="15"/>
      <c r="J32" s="15"/>
      <c r="K32" s="15"/>
      <c r="L32" s="15"/>
      <c r="M32" s="123"/>
      <c r="N32" s="124"/>
      <c r="O32" s="124"/>
      <c r="P32" s="124"/>
      <c r="Q32" s="124"/>
      <c r="R32" s="124"/>
      <c r="S32" s="124"/>
      <c r="T32" s="124"/>
      <c r="U32" s="124"/>
      <c r="V32" s="124"/>
      <c r="W32" s="124"/>
      <c r="X32" s="124"/>
      <c r="Y32" s="124"/>
      <c r="Z32" s="124"/>
      <c r="AA32" s="124"/>
      <c r="AB32" s="124"/>
    </row>
    <row r="33">
      <c r="A33" s="132">
        <f t="shared" si="1"/>
        <v>46274</v>
      </c>
      <c r="B33" s="138"/>
      <c r="C33" s="164"/>
      <c r="D33" s="167"/>
      <c r="E33" s="15"/>
      <c r="F33" s="15"/>
      <c r="G33" s="15"/>
      <c r="H33" s="15"/>
      <c r="I33" s="15"/>
      <c r="J33" s="15"/>
      <c r="K33" s="15"/>
      <c r="L33" s="15"/>
      <c r="M33" s="123"/>
      <c r="N33" s="124"/>
      <c r="O33" s="124"/>
      <c r="P33" s="124"/>
      <c r="Q33" s="124"/>
      <c r="R33" s="124"/>
      <c r="S33" s="124"/>
      <c r="T33" s="124"/>
      <c r="U33" s="124"/>
      <c r="V33" s="124"/>
      <c r="W33" s="124"/>
      <c r="X33" s="124"/>
      <c r="Y33" s="124"/>
      <c r="Z33" s="124"/>
      <c r="AA33" s="124"/>
      <c r="AB33" s="124"/>
    </row>
    <row r="34">
      <c r="A34" s="132">
        <f t="shared" si="1"/>
        <v>46274</v>
      </c>
      <c r="B34" s="138"/>
      <c r="C34" s="152"/>
      <c r="D34" s="153"/>
      <c r="E34" s="15"/>
      <c r="F34" s="15"/>
      <c r="G34" s="15"/>
      <c r="H34" s="15"/>
      <c r="I34" s="15"/>
      <c r="J34" s="15"/>
      <c r="K34" s="15"/>
      <c r="L34" s="15"/>
      <c r="M34" s="123"/>
      <c r="N34" s="124"/>
      <c r="O34" s="124"/>
      <c r="P34" s="124"/>
      <c r="Q34" s="124"/>
      <c r="R34" s="124"/>
      <c r="S34" s="124"/>
      <c r="T34" s="124"/>
      <c r="U34" s="124"/>
      <c r="V34" s="124"/>
      <c r="W34" s="124"/>
      <c r="X34" s="124"/>
      <c r="Y34" s="124"/>
      <c r="Z34" s="124"/>
      <c r="AA34" s="124"/>
      <c r="AB34" s="124"/>
    </row>
    <row r="35">
      <c r="A35" s="132">
        <f t="shared" si="1"/>
        <v>46274</v>
      </c>
      <c r="B35" s="138"/>
      <c r="C35" s="136">
        <v>11.0</v>
      </c>
      <c r="D35" s="148"/>
      <c r="E35" s="15"/>
      <c r="F35" s="123"/>
      <c r="G35" s="123"/>
      <c r="H35" s="123"/>
      <c r="I35" s="123"/>
      <c r="J35" s="123"/>
      <c r="K35" s="123"/>
      <c r="L35" s="123"/>
      <c r="M35" s="123"/>
      <c r="N35" s="124"/>
      <c r="O35" s="124"/>
      <c r="P35" s="124"/>
      <c r="Q35" s="124"/>
      <c r="R35" s="124"/>
      <c r="S35" s="124"/>
      <c r="T35" s="124"/>
      <c r="U35" s="124"/>
      <c r="V35" s="124"/>
      <c r="W35" s="124"/>
      <c r="X35" s="124"/>
      <c r="Y35" s="124"/>
      <c r="Z35" s="124"/>
      <c r="AA35" s="124"/>
      <c r="AB35" s="124"/>
    </row>
    <row r="36">
      <c r="A36" s="132">
        <f t="shared" si="1"/>
        <v>46274</v>
      </c>
      <c r="B36" s="138"/>
      <c r="C36" s="152"/>
      <c r="D36" s="155"/>
      <c r="E36" s="15"/>
      <c r="F36" s="123"/>
      <c r="G36" s="123"/>
      <c r="H36" s="123"/>
      <c r="I36" s="123"/>
      <c r="J36" s="123"/>
      <c r="K36" s="123"/>
      <c r="L36" s="123"/>
      <c r="M36" s="123"/>
      <c r="N36" s="124"/>
      <c r="O36" s="124"/>
      <c r="P36" s="124"/>
      <c r="Q36" s="124"/>
      <c r="R36" s="124"/>
      <c r="S36" s="124"/>
      <c r="T36" s="124"/>
      <c r="U36" s="124"/>
      <c r="V36" s="124"/>
      <c r="W36" s="124"/>
      <c r="X36" s="124"/>
      <c r="Y36" s="124"/>
      <c r="Z36" s="124"/>
      <c r="AA36" s="124"/>
      <c r="AB36" s="124"/>
    </row>
    <row r="37">
      <c r="A37" s="132">
        <f t="shared" si="1"/>
        <v>46274</v>
      </c>
      <c r="B37" s="138"/>
      <c r="C37" s="152"/>
      <c r="D37" s="153"/>
      <c r="E37" s="15"/>
      <c r="F37" s="123"/>
      <c r="G37" s="123"/>
      <c r="H37" s="123"/>
      <c r="I37" s="123"/>
      <c r="J37" s="123"/>
      <c r="K37" s="123"/>
      <c r="L37" s="123"/>
      <c r="M37" s="123"/>
      <c r="N37" s="124"/>
      <c r="O37" s="124"/>
      <c r="P37" s="124"/>
      <c r="Q37" s="124"/>
      <c r="R37" s="124"/>
      <c r="S37" s="124"/>
      <c r="T37" s="124"/>
      <c r="U37" s="124"/>
      <c r="V37" s="124"/>
      <c r="W37" s="124"/>
      <c r="X37" s="124"/>
      <c r="Y37" s="124"/>
      <c r="Z37" s="124"/>
      <c r="AA37" s="124"/>
      <c r="AB37" s="124"/>
    </row>
    <row r="38">
      <c r="A38" s="132">
        <f t="shared" si="1"/>
        <v>46274</v>
      </c>
      <c r="B38" s="138"/>
      <c r="C38" s="136">
        <v>12.0</v>
      </c>
      <c r="D38" s="148"/>
      <c r="E38" s="141"/>
      <c r="F38" s="123"/>
      <c r="G38" s="123"/>
      <c r="H38" s="123"/>
      <c r="I38" s="123"/>
      <c r="J38" s="123"/>
      <c r="K38" s="123"/>
      <c r="L38" s="123"/>
      <c r="M38" s="123"/>
      <c r="N38" s="124"/>
      <c r="O38" s="124"/>
      <c r="P38" s="124"/>
      <c r="Q38" s="124"/>
      <c r="R38" s="124"/>
      <c r="S38" s="124"/>
      <c r="T38" s="124"/>
      <c r="U38" s="124"/>
      <c r="V38" s="124"/>
      <c r="W38" s="124"/>
      <c r="X38" s="124"/>
      <c r="Y38" s="124"/>
      <c r="Z38" s="124"/>
      <c r="AA38" s="124"/>
      <c r="AB38" s="124"/>
    </row>
    <row r="39">
      <c r="A39" s="132">
        <f t="shared" si="1"/>
        <v>46274</v>
      </c>
      <c r="B39" s="138"/>
      <c r="C39" s="152"/>
      <c r="D39" s="153"/>
      <c r="E39" s="15"/>
      <c r="F39" s="123"/>
      <c r="G39" s="123"/>
      <c r="H39" s="123"/>
      <c r="I39" s="123"/>
      <c r="J39" s="123"/>
      <c r="K39" s="123"/>
      <c r="L39" s="123"/>
      <c r="M39" s="123"/>
      <c r="N39" s="124"/>
      <c r="O39" s="124"/>
      <c r="P39" s="124"/>
      <c r="Q39" s="124"/>
      <c r="R39" s="124"/>
      <c r="S39" s="124"/>
      <c r="T39" s="124"/>
      <c r="U39" s="124"/>
      <c r="V39" s="124"/>
      <c r="W39" s="124"/>
      <c r="X39" s="124"/>
      <c r="Y39" s="124"/>
      <c r="Z39" s="124"/>
      <c r="AA39" s="124"/>
      <c r="AB39" s="124"/>
    </row>
    <row r="40">
      <c r="A40" s="132">
        <f t="shared" si="1"/>
        <v>46274</v>
      </c>
      <c r="B40" s="138"/>
      <c r="C40" s="152"/>
      <c r="D40" s="153"/>
      <c r="E40" s="15"/>
      <c r="F40" s="123"/>
      <c r="G40" s="123"/>
      <c r="H40" s="123"/>
      <c r="I40" s="123"/>
      <c r="J40" s="123"/>
      <c r="K40" s="123"/>
      <c r="L40" s="123"/>
      <c r="M40" s="123"/>
      <c r="N40" s="124"/>
      <c r="O40" s="124"/>
      <c r="P40" s="124"/>
      <c r="Q40" s="124"/>
      <c r="R40" s="124"/>
      <c r="S40" s="124"/>
      <c r="T40" s="124"/>
      <c r="U40" s="124"/>
      <c r="V40" s="124"/>
      <c r="W40" s="124"/>
      <c r="X40" s="124"/>
      <c r="Y40" s="124"/>
      <c r="Z40" s="124"/>
      <c r="AA40" s="124"/>
      <c r="AB40" s="124"/>
    </row>
    <row r="41">
      <c r="A41" s="132">
        <f t="shared" si="1"/>
        <v>46274</v>
      </c>
      <c r="B41" s="138"/>
      <c r="C41" s="136">
        <v>13.0</v>
      </c>
      <c r="D41" s="148"/>
      <c r="E41" s="141"/>
      <c r="F41" s="123"/>
      <c r="G41" s="123"/>
      <c r="H41" s="123"/>
      <c r="I41" s="123"/>
      <c r="J41" s="123"/>
      <c r="K41" s="123"/>
      <c r="L41" s="123"/>
      <c r="M41" s="123"/>
      <c r="N41" s="124"/>
      <c r="O41" s="124"/>
      <c r="P41" s="124"/>
      <c r="Q41" s="124"/>
      <c r="R41" s="124"/>
      <c r="S41" s="124"/>
      <c r="T41" s="124"/>
      <c r="U41" s="124"/>
      <c r="V41" s="124"/>
      <c r="W41" s="124"/>
      <c r="X41" s="124"/>
      <c r="Y41" s="124"/>
      <c r="Z41" s="124"/>
      <c r="AA41" s="124"/>
      <c r="AB41" s="124"/>
    </row>
    <row r="42">
      <c r="A42" s="132">
        <f t="shared" si="1"/>
        <v>46274</v>
      </c>
      <c r="B42" s="138"/>
      <c r="C42" s="152"/>
      <c r="D42" s="155"/>
      <c r="E42" s="15"/>
      <c r="F42" s="123"/>
      <c r="G42" s="123"/>
      <c r="H42" s="123"/>
      <c r="I42" s="123"/>
      <c r="J42" s="123"/>
      <c r="K42" s="123"/>
      <c r="L42" s="123"/>
      <c r="M42" s="123"/>
      <c r="N42" s="124"/>
      <c r="O42" s="124"/>
      <c r="P42" s="124"/>
      <c r="Q42" s="124"/>
      <c r="R42" s="124"/>
      <c r="S42" s="124"/>
      <c r="T42" s="124"/>
      <c r="U42" s="124"/>
      <c r="V42" s="124"/>
      <c r="W42" s="124"/>
      <c r="X42" s="124"/>
      <c r="Y42" s="124"/>
      <c r="Z42" s="124"/>
      <c r="AA42" s="124"/>
      <c r="AB42" s="124"/>
    </row>
    <row r="43">
      <c r="A43" s="132">
        <f t="shared" si="1"/>
        <v>46274</v>
      </c>
      <c r="B43" s="138"/>
      <c r="C43" s="152"/>
      <c r="D43" s="153"/>
      <c r="E43" s="15"/>
      <c r="F43" s="123"/>
      <c r="G43" s="123"/>
      <c r="H43" s="123"/>
      <c r="I43" s="123"/>
      <c r="J43" s="123"/>
      <c r="K43" s="123"/>
      <c r="L43" s="123"/>
      <c r="M43" s="123"/>
      <c r="N43" s="124"/>
      <c r="O43" s="124"/>
      <c r="P43" s="124"/>
      <c r="Q43" s="124"/>
      <c r="R43" s="124"/>
      <c r="S43" s="124"/>
      <c r="T43" s="124"/>
      <c r="U43" s="124"/>
      <c r="V43" s="124"/>
      <c r="W43" s="124"/>
      <c r="X43" s="124"/>
      <c r="Y43" s="124"/>
      <c r="Z43" s="124"/>
      <c r="AA43" s="124"/>
      <c r="AB43" s="124"/>
    </row>
    <row r="44">
      <c r="A44" s="132">
        <f t="shared" si="1"/>
        <v>46274</v>
      </c>
      <c r="B44" s="138"/>
      <c r="C44" s="136">
        <v>14.0</v>
      </c>
      <c r="D44" s="148"/>
      <c r="E44" s="171"/>
      <c r="F44" s="123"/>
      <c r="G44" s="123"/>
      <c r="H44" s="123"/>
      <c r="I44" s="123"/>
      <c r="J44" s="123"/>
      <c r="K44" s="123"/>
      <c r="L44" s="123"/>
      <c r="M44" s="123"/>
      <c r="N44" s="124"/>
      <c r="O44" s="124"/>
      <c r="P44" s="124"/>
      <c r="Q44" s="124"/>
      <c r="R44" s="124"/>
      <c r="S44" s="124"/>
      <c r="T44" s="124"/>
      <c r="U44" s="124"/>
      <c r="V44" s="124"/>
      <c r="W44" s="124"/>
      <c r="X44" s="124"/>
      <c r="Y44" s="124"/>
      <c r="Z44" s="124"/>
      <c r="AA44" s="124"/>
      <c r="AB44" s="124"/>
    </row>
    <row r="45">
      <c r="A45" s="132">
        <f t="shared" si="1"/>
        <v>46274</v>
      </c>
      <c r="B45" s="138"/>
      <c r="C45" s="152"/>
      <c r="D45" s="155"/>
      <c r="E45" s="15"/>
      <c r="F45" s="123"/>
      <c r="G45" s="123"/>
      <c r="H45" s="123"/>
      <c r="I45" s="123"/>
      <c r="J45" s="123"/>
      <c r="K45" s="123"/>
      <c r="L45" s="123"/>
      <c r="M45" s="123"/>
      <c r="N45" s="124"/>
      <c r="O45" s="124"/>
      <c r="P45" s="124"/>
      <c r="Q45" s="124"/>
      <c r="R45" s="124"/>
      <c r="S45" s="124"/>
      <c r="T45" s="124"/>
      <c r="U45" s="124"/>
      <c r="V45" s="124"/>
      <c r="W45" s="124"/>
      <c r="X45" s="124"/>
      <c r="Y45" s="124"/>
      <c r="Z45" s="124"/>
      <c r="AA45" s="124"/>
      <c r="AB45" s="124"/>
    </row>
    <row r="46">
      <c r="A46" s="132">
        <f t="shared" si="1"/>
        <v>46274</v>
      </c>
      <c r="B46" s="138"/>
      <c r="C46" s="152"/>
      <c r="D46" s="153"/>
      <c r="E46" s="15"/>
      <c r="F46" s="123"/>
      <c r="G46" s="123"/>
      <c r="H46" s="123"/>
      <c r="I46" s="123"/>
      <c r="J46" s="123"/>
      <c r="K46" s="123"/>
      <c r="L46" s="123"/>
      <c r="M46" s="123"/>
      <c r="N46" s="124"/>
      <c r="O46" s="124"/>
      <c r="P46" s="124"/>
      <c r="Q46" s="124"/>
      <c r="R46" s="124"/>
      <c r="S46" s="124"/>
      <c r="T46" s="124"/>
      <c r="U46" s="124"/>
      <c r="V46" s="124"/>
      <c r="W46" s="124"/>
      <c r="X46" s="124"/>
      <c r="Y46" s="124"/>
      <c r="Z46" s="124"/>
      <c r="AA46" s="124"/>
      <c r="AB46" s="124"/>
    </row>
    <row r="47">
      <c r="A47" s="132">
        <f t="shared" si="1"/>
        <v>46274</v>
      </c>
      <c r="B47" s="138"/>
      <c r="C47" s="136">
        <v>15.0</v>
      </c>
      <c r="D47" s="148"/>
      <c r="E47" s="15"/>
      <c r="F47" s="123"/>
      <c r="G47" s="123"/>
      <c r="H47" s="123"/>
      <c r="I47" s="123"/>
      <c r="J47" s="123"/>
      <c r="K47" s="123"/>
      <c r="L47" s="123"/>
      <c r="M47" s="123"/>
      <c r="N47" s="124"/>
      <c r="O47" s="124"/>
      <c r="P47" s="124"/>
      <c r="Q47" s="124"/>
      <c r="R47" s="124"/>
      <c r="S47" s="124"/>
      <c r="T47" s="124"/>
      <c r="U47" s="124"/>
      <c r="V47" s="124"/>
      <c r="W47" s="124"/>
      <c r="X47" s="124"/>
      <c r="Y47" s="124"/>
      <c r="Z47" s="124"/>
      <c r="AA47" s="124"/>
      <c r="AB47" s="124"/>
    </row>
    <row r="48">
      <c r="A48" s="132">
        <f t="shared" si="1"/>
        <v>46274</v>
      </c>
      <c r="B48" s="138"/>
      <c r="C48" s="152"/>
      <c r="D48" s="155"/>
      <c r="E48" s="15"/>
      <c r="F48" s="123"/>
      <c r="G48" s="123"/>
      <c r="H48" s="123"/>
      <c r="I48" s="123"/>
      <c r="J48" s="123"/>
      <c r="K48" s="123"/>
      <c r="L48" s="123"/>
      <c r="M48" s="123"/>
      <c r="N48" s="124"/>
      <c r="O48" s="124"/>
      <c r="P48" s="124"/>
      <c r="Q48" s="124"/>
      <c r="R48" s="124"/>
      <c r="S48" s="124"/>
      <c r="T48" s="124"/>
      <c r="U48" s="124"/>
      <c r="V48" s="124"/>
      <c r="W48" s="124"/>
      <c r="X48" s="124"/>
      <c r="Y48" s="124"/>
      <c r="Z48" s="124"/>
      <c r="AA48" s="124"/>
      <c r="AB48" s="124"/>
    </row>
    <row r="49">
      <c r="A49" s="132">
        <f t="shared" si="1"/>
        <v>46274</v>
      </c>
      <c r="B49" s="138"/>
      <c r="C49" s="152"/>
      <c r="D49" s="153"/>
      <c r="E49" s="15"/>
      <c r="F49" s="123"/>
      <c r="G49" s="123"/>
      <c r="H49" s="123"/>
      <c r="I49" s="123"/>
      <c r="J49" s="123"/>
      <c r="K49" s="123"/>
      <c r="L49" s="123"/>
      <c r="M49" s="123"/>
      <c r="N49" s="124"/>
      <c r="O49" s="124"/>
      <c r="P49" s="124"/>
      <c r="Q49" s="124"/>
      <c r="R49" s="124"/>
      <c r="S49" s="124"/>
      <c r="T49" s="124"/>
      <c r="U49" s="124"/>
      <c r="V49" s="124"/>
      <c r="W49" s="124"/>
      <c r="X49" s="124"/>
      <c r="Y49" s="124"/>
      <c r="Z49" s="124"/>
      <c r="AA49" s="124"/>
      <c r="AB49" s="124"/>
    </row>
    <row r="50">
      <c r="A50" s="132">
        <f t="shared" si="1"/>
        <v>46274</v>
      </c>
      <c r="B50" s="138"/>
      <c r="C50" s="136">
        <v>16.0</v>
      </c>
      <c r="D50" s="148"/>
      <c r="E50" s="15"/>
      <c r="F50" s="123"/>
      <c r="G50" s="123"/>
      <c r="H50" s="123"/>
      <c r="I50" s="123"/>
      <c r="J50" s="123"/>
      <c r="K50" s="123"/>
      <c r="L50" s="123"/>
      <c r="M50" s="123"/>
      <c r="N50" s="124"/>
      <c r="O50" s="124"/>
      <c r="P50" s="124"/>
      <c r="Q50" s="124"/>
      <c r="R50" s="124"/>
      <c r="S50" s="124"/>
      <c r="T50" s="124"/>
      <c r="U50" s="124"/>
      <c r="V50" s="124"/>
      <c r="W50" s="124"/>
      <c r="X50" s="124"/>
      <c r="Y50" s="124"/>
      <c r="Z50" s="124"/>
      <c r="AA50" s="124"/>
      <c r="AB50" s="124"/>
    </row>
    <row r="51">
      <c r="A51" s="132">
        <f t="shared" si="1"/>
        <v>46274</v>
      </c>
      <c r="B51" s="138"/>
      <c r="C51" s="152"/>
      <c r="D51" s="155"/>
      <c r="E51" s="15"/>
      <c r="F51" s="123"/>
      <c r="G51" s="123"/>
      <c r="H51" s="123"/>
      <c r="I51" s="123"/>
      <c r="J51" s="123"/>
      <c r="K51" s="123"/>
      <c r="L51" s="123"/>
      <c r="M51" s="123"/>
      <c r="N51" s="124"/>
      <c r="O51" s="124"/>
      <c r="P51" s="124"/>
      <c r="Q51" s="124"/>
      <c r="R51" s="124"/>
      <c r="S51" s="124"/>
      <c r="T51" s="124"/>
      <c r="U51" s="124"/>
      <c r="V51" s="124"/>
      <c r="W51" s="124"/>
      <c r="X51" s="124"/>
      <c r="Y51" s="124"/>
      <c r="Z51" s="124"/>
      <c r="AA51" s="124"/>
      <c r="AB51" s="124"/>
    </row>
    <row r="52">
      <c r="A52" s="132">
        <f t="shared" si="1"/>
        <v>46274</v>
      </c>
      <c r="B52" s="138"/>
      <c r="C52" s="152"/>
      <c r="D52" s="153"/>
      <c r="E52" s="15"/>
      <c r="F52" s="123"/>
      <c r="G52" s="123"/>
      <c r="H52" s="123"/>
      <c r="I52" s="123"/>
      <c r="J52" s="123"/>
      <c r="K52" s="123"/>
      <c r="L52" s="123"/>
      <c r="M52" s="123"/>
      <c r="N52" s="124"/>
      <c r="O52" s="124"/>
      <c r="P52" s="124"/>
      <c r="Q52" s="124"/>
      <c r="R52" s="124"/>
      <c r="S52" s="124"/>
      <c r="T52" s="124"/>
      <c r="U52" s="124"/>
      <c r="V52" s="124"/>
      <c r="W52" s="124"/>
      <c r="X52" s="124"/>
      <c r="Y52" s="124"/>
      <c r="Z52" s="124"/>
      <c r="AA52" s="124"/>
      <c r="AB52" s="124"/>
    </row>
    <row r="53">
      <c r="A53" s="132">
        <f t="shared" si="1"/>
        <v>46274</v>
      </c>
      <c r="B53" s="138"/>
      <c r="C53" s="136">
        <v>17.0</v>
      </c>
      <c r="D53" s="148"/>
      <c r="E53" s="15"/>
      <c r="F53" s="123"/>
      <c r="G53" s="123"/>
      <c r="H53" s="123"/>
      <c r="I53" s="123"/>
      <c r="J53" s="123"/>
      <c r="K53" s="123"/>
      <c r="L53" s="123"/>
      <c r="M53" s="123"/>
      <c r="N53" s="124"/>
      <c r="O53" s="124"/>
      <c r="P53" s="124"/>
      <c r="Q53" s="124"/>
      <c r="R53" s="124"/>
      <c r="S53" s="124"/>
      <c r="T53" s="124"/>
      <c r="U53" s="124"/>
      <c r="V53" s="124"/>
      <c r="W53" s="124"/>
      <c r="X53" s="124"/>
      <c r="Y53" s="124"/>
      <c r="Z53" s="124"/>
      <c r="AA53" s="124"/>
      <c r="AB53" s="124"/>
    </row>
    <row r="54">
      <c r="A54" s="132">
        <f t="shared" si="1"/>
        <v>46274</v>
      </c>
      <c r="B54" s="138"/>
      <c r="C54" s="139"/>
      <c r="D54" s="174"/>
      <c r="E54" s="175"/>
      <c r="F54" s="176"/>
      <c r="G54" s="123"/>
      <c r="H54" s="123"/>
      <c r="I54" s="123"/>
      <c r="J54" s="123"/>
      <c r="K54" s="123"/>
      <c r="L54" s="123"/>
      <c r="M54" s="123"/>
      <c r="N54" s="124"/>
      <c r="O54" s="124"/>
      <c r="P54" s="124"/>
      <c r="Q54" s="124"/>
      <c r="R54" s="124"/>
      <c r="S54" s="124"/>
      <c r="T54" s="124"/>
      <c r="U54" s="124"/>
      <c r="V54" s="124"/>
      <c r="W54" s="124"/>
      <c r="X54" s="124"/>
      <c r="Y54" s="124"/>
      <c r="Z54" s="124"/>
      <c r="AA54" s="124"/>
      <c r="AB54" s="124"/>
    </row>
    <row r="55">
      <c r="A55" s="132">
        <f t="shared" si="1"/>
        <v>46274</v>
      </c>
      <c r="B55" s="138"/>
      <c r="C55" s="139"/>
      <c r="D55" s="177"/>
      <c r="E55" s="175"/>
      <c r="F55" s="176"/>
      <c r="G55" s="123"/>
      <c r="H55" s="123"/>
      <c r="I55" s="123"/>
      <c r="J55" s="123"/>
      <c r="K55" s="123"/>
      <c r="L55" s="123"/>
      <c r="M55" s="123"/>
      <c r="N55" s="124"/>
      <c r="O55" s="124"/>
      <c r="P55" s="124"/>
      <c r="Q55" s="124"/>
      <c r="R55" s="124"/>
      <c r="S55" s="124"/>
      <c r="T55" s="124"/>
      <c r="U55" s="124"/>
      <c r="V55" s="124"/>
      <c r="W55" s="124"/>
      <c r="X55" s="124"/>
      <c r="Y55" s="124"/>
      <c r="Z55" s="124"/>
      <c r="AA55" s="124"/>
      <c r="AB55" s="124"/>
    </row>
    <row r="56">
      <c r="A56" s="132">
        <f t="shared" si="1"/>
        <v>46274</v>
      </c>
      <c r="B56" s="138"/>
      <c r="C56" s="146">
        <v>18.0</v>
      </c>
      <c r="D56" s="148"/>
      <c r="E56" s="175"/>
      <c r="F56" s="176"/>
      <c r="G56" s="123"/>
      <c r="H56" s="123"/>
      <c r="I56" s="123"/>
      <c r="J56" s="123"/>
      <c r="K56" s="123"/>
      <c r="L56" s="123"/>
      <c r="M56" s="123"/>
      <c r="N56" s="124"/>
      <c r="O56" s="124"/>
      <c r="P56" s="124"/>
      <c r="Q56" s="124"/>
      <c r="R56" s="124"/>
      <c r="S56" s="124"/>
      <c r="T56" s="124"/>
      <c r="U56" s="124"/>
      <c r="V56" s="124"/>
      <c r="W56" s="124"/>
      <c r="X56" s="124"/>
      <c r="Y56" s="124"/>
      <c r="Z56" s="124"/>
      <c r="AA56" s="124"/>
      <c r="AB56" s="124"/>
    </row>
    <row r="57">
      <c r="A57" s="132">
        <f t="shared" si="1"/>
        <v>46274</v>
      </c>
      <c r="B57" s="138"/>
      <c r="C57" s="50"/>
      <c r="D57" s="147"/>
      <c r="E57" s="175"/>
      <c r="F57" s="176"/>
      <c r="G57" s="123"/>
      <c r="H57" s="123"/>
      <c r="I57" s="123"/>
      <c r="J57" s="123"/>
      <c r="K57" s="123"/>
      <c r="L57" s="123"/>
      <c r="M57" s="123"/>
      <c r="N57" s="124"/>
      <c r="O57" s="124"/>
      <c r="P57" s="124"/>
      <c r="Q57" s="124"/>
      <c r="R57" s="124"/>
      <c r="S57" s="124"/>
      <c r="T57" s="124"/>
      <c r="U57" s="124"/>
      <c r="V57" s="124"/>
      <c r="W57" s="124"/>
      <c r="X57" s="124"/>
      <c r="Y57" s="124"/>
      <c r="Z57" s="124"/>
      <c r="AA57" s="124"/>
      <c r="AB57" s="124"/>
    </row>
    <row r="58">
      <c r="A58" s="132">
        <f t="shared" si="1"/>
        <v>46274</v>
      </c>
      <c r="B58" s="138"/>
      <c r="C58" s="29"/>
      <c r="D58" s="178"/>
      <c r="E58" s="15"/>
      <c r="F58" s="123"/>
      <c r="G58" s="123"/>
      <c r="H58" s="123"/>
      <c r="I58" s="123"/>
      <c r="J58" s="123"/>
      <c r="K58" s="123"/>
      <c r="L58" s="123"/>
      <c r="M58" s="123"/>
      <c r="N58" s="124"/>
      <c r="O58" s="124"/>
      <c r="P58" s="124"/>
      <c r="Q58" s="124"/>
      <c r="R58" s="124"/>
      <c r="S58" s="124"/>
      <c r="T58" s="124"/>
      <c r="U58" s="124"/>
      <c r="V58" s="124"/>
      <c r="W58" s="124"/>
      <c r="X58" s="124"/>
      <c r="Y58" s="124"/>
      <c r="Z58" s="124"/>
      <c r="AA58" s="124"/>
      <c r="AB58" s="124"/>
    </row>
    <row r="59">
      <c r="A59" s="132">
        <f t="shared" si="1"/>
        <v>46274</v>
      </c>
      <c r="B59" s="138"/>
      <c r="C59" s="179">
        <v>19.0</v>
      </c>
      <c r="D59" s="148"/>
      <c r="E59" s="15"/>
      <c r="F59" s="123"/>
      <c r="G59" s="123"/>
      <c r="H59" s="123"/>
      <c r="I59" s="123"/>
      <c r="J59" s="123"/>
      <c r="K59" s="123"/>
      <c r="L59" s="123"/>
      <c r="M59" s="123"/>
      <c r="N59" s="124"/>
      <c r="O59" s="124"/>
      <c r="P59" s="124"/>
      <c r="Q59" s="124"/>
      <c r="R59" s="124"/>
      <c r="S59" s="124"/>
      <c r="T59" s="124"/>
      <c r="U59" s="124"/>
      <c r="V59" s="124"/>
      <c r="W59" s="124"/>
      <c r="X59" s="124"/>
      <c r="Y59" s="124"/>
      <c r="Z59" s="124"/>
      <c r="AA59" s="124"/>
      <c r="AB59" s="124"/>
    </row>
    <row r="60">
      <c r="A60" s="132">
        <f t="shared" si="1"/>
        <v>46274</v>
      </c>
      <c r="B60" s="138"/>
      <c r="C60" s="29"/>
      <c r="D60" s="180"/>
      <c r="E60" s="15"/>
      <c r="F60" s="123"/>
      <c r="G60" s="123"/>
      <c r="H60" s="123"/>
      <c r="I60" s="123"/>
      <c r="J60" s="123"/>
      <c r="K60" s="123"/>
      <c r="L60" s="123"/>
      <c r="M60" s="123"/>
      <c r="N60" s="124"/>
      <c r="O60" s="124"/>
      <c r="P60" s="124"/>
      <c r="Q60" s="124"/>
      <c r="R60" s="124"/>
      <c r="S60" s="124"/>
      <c r="T60" s="124"/>
      <c r="U60" s="124"/>
      <c r="V60" s="124"/>
      <c r="W60" s="124"/>
      <c r="X60" s="124"/>
      <c r="Y60" s="124"/>
      <c r="Z60" s="124"/>
      <c r="AA60" s="124"/>
      <c r="AB60" s="124"/>
    </row>
    <row r="61">
      <c r="A61" s="132">
        <f t="shared" si="1"/>
        <v>46274</v>
      </c>
      <c r="B61" s="138"/>
      <c r="C61" s="29"/>
      <c r="D61" s="178"/>
      <c r="E61" s="15"/>
      <c r="F61" s="123"/>
      <c r="G61" s="123"/>
      <c r="H61" s="123"/>
      <c r="I61" s="123"/>
      <c r="J61" s="123"/>
      <c r="K61" s="123"/>
      <c r="L61" s="123"/>
      <c r="M61" s="123"/>
      <c r="N61" s="124"/>
      <c r="O61" s="124"/>
      <c r="P61" s="124"/>
      <c r="Q61" s="124"/>
      <c r="R61" s="124"/>
      <c r="S61" s="124"/>
      <c r="T61" s="124"/>
      <c r="U61" s="124"/>
      <c r="V61" s="124"/>
      <c r="W61" s="124"/>
      <c r="X61" s="124"/>
      <c r="Y61" s="124"/>
      <c r="Z61" s="124"/>
      <c r="AA61" s="124"/>
      <c r="AB61" s="124"/>
    </row>
    <row r="62">
      <c r="A62" s="132">
        <f t="shared" si="1"/>
        <v>46274</v>
      </c>
      <c r="B62" s="138"/>
      <c r="C62" s="179">
        <v>20.0</v>
      </c>
      <c r="D62" s="148"/>
      <c r="E62" s="15"/>
      <c r="F62" s="123"/>
      <c r="G62" s="123"/>
      <c r="H62" s="123"/>
      <c r="I62" s="123"/>
      <c r="J62" s="123"/>
      <c r="K62" s="123"/>
      <c r="L62" s="123"/>
      <c r="M62" s="123"/>
      <c r="N62" s="124"/>
      <c r="O62" s="124"/>
      <c r="P62" s="124"/>
      <c r="Q62" s="124"/>
      <c r="R62" s="124"/>
      <c r="S62" s="124"/>
      <c r="T62" s="124"/>
      <c r="U62" s="124"/>
      <c r="V62" s="124"/>
      <c r="W62" s="124"/>
      <c r="X62" s="124"/>
      <c r="Y62" s="124"/>
      <c r="Z62" s="124"/>
      <c r="AA62" s="124"/>
      <c r="AB62" s="124"/>
    </row>
    <row r="63">
      <c r="A63" s="132">
        <f t="shared" si="1"/>
        <v>46274</v>
      </c>
      <c r="B63" s="138"/>
      <c r="C63" s="29"/>
      <c r="D63" s="180"/>
      <c r="E63" s="15"/>
      <c r="F63" s="123"/>
      <c r="G63" s="123"/>
      <c r="H63" s="123"/>
      <c r="I63" s="123"/>
      <c r="J63" s="123"/>
      <c r="K63" s="123"/>
      <c r="L63" s="123"/>
      <c r="M63" s="123"/>
      <c r="N63" s="124"/>
      <c r="O63" s="124"/>
      <c r="P63" s="124"/>
      <c r="Q63" s="124"/>
      <c r="R63" s="124"/>
      <c r="S63" s="124"/>
      <c r="T63" s="124"/>
      <c r="U63" s="124"/>
      <c r="V63" s="124"/>
      <c r="W63" s="124"/>
      <c r="X63" s="124"/>
      <c r="Y63" s="124"/>
      <c r="Z63" s="124"/>
      <c r="AA63" s="124"/>
      <c r="AB63" s="124"/>
    </row>
    <row r="64">
      <c r="A64" s="132">
        <f t="shared" si="1"/>
        <v>46274</v>
      </c>
      <c r="B64" s="138"/>
      <c r="C64" s="29"/>
      <c r="D64" s="178"/>
      <c r="E64" s="15"/>
      <c r="F64" s="123"/>
      <c r="G64" s="123"/>
      <c r="H64" s="123"/>
      <c r="I64" s="123"/>
      <c r="J64" s="123"/>
      <c r="K64" s="123"/>
      <c r="L64" s="123"/>
      <c r="M64" s="123"/>
      <c r="N64" s="124"/>
      <c r="O64" s="124"/>
      <c r="P64" s="124"/>
      <c r="Q64" s="124"/>
      <c r="R64" s="124"/>
      <c r="S64" s="124"/>
      <c r="T64" s="124"/>
      <c r="U64" s="124"/>
      <c r="V64" s="124"/>
      <c r="W64" s="124"/>
      <c r="X64" s="124"/>
      <c r="Y64" s="124"/>
      <c r="Z64" s="124"/>
      <c r="AA64" s="124"/>
      <c r="AB64" s="124"/>
    </row>
    <row r="65">
      <c r="A65" s="132">
        <f t="shared" si="1"/>
        <v>46274</v>
      </c>
      <c r="B65" s="138"/>
      <c r="C65" s="179">
        <v>21.0</v>
      </c>
      <c r="D65" s="148"/>
      <c r="E65" s="141"/>
      <c r="F65" s="123"/>
      <c r="G65" s="123"/>
      <c r="H65" s="123"/>
      <c r="I65" s="123"/>
      <c r="J65" s="123"/>
      <c r="K65" s="123"/>
      <c r="L65" s="123"/>
      <c r="M65" s="123"/>
      <c r="N65" s="124"/>
      <c r="O65" s="124"/>
      <c r="P65" s="124"/>
      <c r="Q65" s="124"/>
      <c r="R65" s="124"/>
      <c r="S65" s="124"/>
      <c r="T65" s="124"/>
      <c r="U65" s="124"/>
      <c r="V65" s="124"/>
      <c r="W65" s="124"/>
      <c r="X65" s="124"/>
      <c r="Y65" s="124"/>
      <c r="Z65" s="124"/>
      <c r="AA65" s="124"/>
      <c r="AB65" s="124"/>
    </row>
    <row r="66">
      <c r="A66" s="132">
        <f t="shared" si="1"/>
        <v>46274</v>
      </c>
      <c r="B66" s="138"/>
      <c r="C66" s="29"/>
      <c r="D66" s="180"/>
      <c r="E66" s="15"/>
      <c r="F66" s="123"/>
      <c r="G66" s="123"/>
      <c r="H66" s="123"/>
      <c r="I66" s="123"/>
      <c r="J66" s="123"/>
      <c r="K66" s="123"/>
      <c r="L66" s="123"/>
      <c r="M66" s="123"/>
      <c r="N66" s="124"/>
      <c r="O66" s="124"/>
      <c r="P66" s="124"/>
      <c r="Q66" s="124"/>
      <c r="R66" s="124"/>
      <c r="S66" s="124"/>
      <c r="T66" s="124"/>
      <c r="U66" s="124"/>
      <c r="V66" s="124"/>
      <c r="W66" s="124"/>
      <c r="X66" s="124"/>
      <c r="Y66" s="124"/>
      <c r="Z66" s="124"/>
      <c r="AA66" s="124"/>
      <c r="AB66" s="124"/>
    </row>
    <row r="67">
      <c r="A67" s="132">
        <f t="shared" si="1"/>
        <v>46274</v>
      </c>
      <c r="B67" s="138"/>
      <c r="C67" s="29"/>
      <c r="D67" s="178"/>
      <c r="E67" s="15"/>
      <c r="F67" s="123"/>
      <c r="G67" s="123"/>
      <c r="H67" s="123"/>
      <c r="I67" s="123"/>
      <c r="J67" s="123"/>
      <c r="K67" s="123"/>
      <c r="L67" s="123"/>
      <c r="M67" s="123"/>
      <c r="N67" s="124"/>
      <c r="O67" s="124"/>
      <c r="P67" s="124"/>
      <c r="Q67" s="124"/>
      <c r="R67" s="124"/>
      <c r="S67" s="124"/>
      <c r="T67" s="124"/>
      <c r="U67" s="124"/>
      <c r="V67" s="124"/>
      <c r="W67" s="124"/>
      <c r="X67" s="124"/>
      <c r="Y67" s="124"/>
      <c r="Z67" s="124"/>
      <c r="AA67" s="124"/>
      <c r="AB67" s="124"/>
    </row>
    <row r="68">
      <c r="A68" s="132">
        <f t="shared" si="1"/>
        <v>46274</v>
      </c>
      <c r="B68" s="138"/>
      <c r="C68" s="29"/>
      <c r="D68" s="178"/>
      <c r="E68" s="15"/>
      <c r="F68" s="123"/>
      <c r="G68" s="123"/>
      <c r="H68" s="123"/>
      <c r="I68" s="123"/>
      <c r="J68" s="123"/>
      <c r="K68" s="123"/>
      <c r="L68" s="123"/>
      <c r="M68" s="123"/>
      <c r="N68" s="124"/>
      <c r="O68" s="124"/>
      <c r="P68" s="124"/>
      <c r="Q68" s="124"/>
      <c r="R68" s="124"/>
      <c r="S68" s="124"/>
      <c r="T68" s="124"/>
      <c r="U68" s="124"/>
      <c r="V68" s="124"/>
      <c r="W68" s="124"/>
      <c r="X68" s="124"/>
      <c r="Y68" s="124"/>
      <c r="Z68" s="124"/>
      <c r="AA68" s="124"/>
      <c r="AB68" s="124"/>
    </row>
    <row r="69">
      <c r="A69" s="132">
        <f t="shared" si="1"/>
        <v>46274</v>
      </c>
      <c r="B69" s="138"/>
      <c r="C69" s="29"/>
      <c r="D69" s="178"/>
      <c r="E69" s="15"/>
      <c r="F69" s="123"/>
      <c r="G69" s="123"/>
      <c r="H69" s="123"/>
      <c r="I69" s="123"/>
      <c r="J69" s="123"/>
      <c r="K69" s="123"/>
      <c r="L69" s="123"/>
      <c r="M69" s="123"/>
      <c r="N69" s="124"/>
      <c r="O69" s="124"/>
      <c r="P69" s="124"/>
      <c r="Q69" s="124"/>
      <c r="R69" s="124"/>
      <c r="S69" s="124"/>
      <c r="T69" s="124"/>
      <c r="U69" s="124"/>
      <c r="V69" s="124"/>
      <c r="W69" s="124"/>
      <c r="X69" s="124"/>
      <c r="Y69" s="124"/>
      <c r="Z69" s="124"/>
      <c r="AA69" s="124"/>
      <c r="AB69" s="124"/>
    </row>
    <row r="70">
      <c r="A70" s="132">
        <f t="shared" si="1"/>
        <v>46274</v>
      </c>
      <c r="B70" s="138"/>
      <c r="C70" s="29"/>
      <c r="D70" s="178"/>
      <c r="E70" s="15"/>
      <c r="F70" s="123"/>
      <c r="G70" s="123"/>
      <c r="H70" s="123"/>
      <c r="I70" s="123"/>
      <c r="J70" s="123"/>
      <c r="K70" s="123"/>
      <c r="L70" s="123"/>
      <c r="M70" s="123"/>
      <c r="N70" s="124"/>
      <c r="O70" s="124"/>
      <c r="P70" s="124"/>
      <c r="Q70" s="124"/>
      <c r="R70" s="124"/>
      <c r="S70" s="124"/>
      <c r="T70" s="124"/>
      <c r="U70" s="124"/>
      <c r="V70" s="124"/>
      <c r="W70" s="124"/>
      <c r="X70" s="124"/>
      <c r="Y70" s="124"/>
      <c r="Z70" s="124"/>
      <c r="AA70" s="124"/>
      <c r="AB70" s="124"/>
    </row>
    <row r="71">
      <c r="A71" s="132">
        <f t="shared" si="1"/>
        <v>46274</v>
      </c>
      <c r="B71" s="138"/>
      <c r="C71" s="29"/>
      <c r="D71" s="178"/>
      <c r="E71" s="15"/>
      <c r="F71" s="123"/>
      <c r="G71" s="123"/>
      <c r="H71" s="123"/>
      <c r="I71" s="123"/>
      <c r="J71" s="123"/>
      <c r="K71" s="123"/>
      <c r="L71" s="123"/>
      <c r="M71" s="123"/>
      <c r="N71" s="124"/>
      <c r="O71" s="124"/>
      <c r="P71" s="124"/>
      <c r="Q71" s="124"/>
      <c r="R71" s="124"/>
      <c r="S71" s="124"/>
      <c r="T71" s="124"/>
      <c r="U71" s="124"/>
      <c r="V71" s="124"/>
      <c r="W71" s="124"/>
      <c r="X71" s="124"/>
      <c r="Y71" s="124"/>
      <c r="Z71" s="124"/>
      <c r="AA71" s="124"/>
      <c r="AB71" s="124"/>
    </row>
    <row r="72">
      <c r="A72" s="132">
        <f t="shared" si="1"/>
        <v>46274</v>
      </c>
      <c r="B72" s="138"/>
      <c r="C72" s="29"/>
      <c r="D72" s="178"/>
      <c r="E72" s="15"/>
      <c r="F72" s="123"/>
      <c r="G72" s="123"/>
      <c r="H72" s="123"/>
      <c r="I72" s="123"/>
      <c r="J72" s="123"/>
      <c r="K72" s="123"/>
      <c r="L72" s="123"/>
      <c r="M72" s="123"/>
      <c r="N72" s="124"/>
      <c r="O72" s="124"/>
      <c r="P72" s="124"/>
      <c r="Q72" s="124"/>
      <c r="R72" s="124"/>
      <c r="S72" s="124"/>
      <c r="T72" s="124"/>
      <c r="U72" s="124"/>
      <c r="V72" s="124"/>
      <c r="W72" s="124"/>
      <c r="X72" s="124"/>
      <c r="Y72" s="124"/>
      <c r="Z72" s="124"/>
      <c r="AA72" s="124"/>
      <c r="AB72" s="124"/>
    </row>
    <row r="73">
      <c r="A73" s="132">
        <f t="shared" si="1"/>
        <v>46274</v>
      </c>
      <c r="B73" s="184"/>
      <c r="C73" s="29"/>
      <c r="D73" s="178"/>
      <c r="E73" s="15"/>
      <c r="F73" s="123"/>
      <c r="G73" s="123"/>
      <c r="H73" s="123"/>
      <c r="I73" s="123"/>
      <c r="J73" s="123"/>
      <c r="K73" s="123"/>
      <c r="L73" s="123"/>
      <c r="M73" s="123"/>
      <c r="N73" s="124"/>
      <c r="O73" s="124"/>
      <c r="P73" s="124"/>
      <c r="Q73" s="124"/>
      <c r="R73" s="124"/>
      <c r="S73" s="124"/>
      <c r="T73" s="124"/>
      <c r="U73" s="124"/>
      <c r="V73" s="124"/>
      <c r="W73" s="124"/>
      <c r="X73" s="124"/>
      <c r="Y73" s="124"/>
      <c r="Z73" s="124"/>
      <c r="AA73" s="124"/>
      <c r="AB73" s="124"/>
    </row>
    <row r="74">
      <c r="A74" s="132">
        <f t="shared" si="1"/>
        <v>46274</v>
      </c>
      <c r="B74" s="184"/>
      <c r="C74" s="29"/>
      <c r="D74" s="178"/>
      <c r="E74" s="15"/>
      <c r="F74" s="123"/>
      <c r="G74" s="123"/>
      <c r="H74" s="123"/>
      <c r="I74" s="123"/>
      <c r="J74" s="123"/>
      <c r="K74" s="123"/>
      <c r="L74" s="123"/>
      <c r="M74" s="123"/>
      <c r="N74" s="124"/>
      <c r="O74" s="124"/>
      <c r="P74" s="124"/>
      <c r="Q74" s="124"/>
      <c r="R74" s="124"/>
      <c r="S74" s="124"/>
      <c r="T74" s="124"/>
      <c r="U74" s="124"/>
      <c r="V74" s="124"/>
      <c r="W74" s="124"/>
      <c r="X74" s="124"/>
      <c r="Y74" s="124"/>
      <c r="Z74" s="124"/>
      <c r="AA74" s="124"/>
      <c r="AB74" s="124"/>
    </row>
    <row r="75">
      <c r="A75" s="132">
        <f t="shared" si="1"/>
        <v>46274</v>
      </c>
      <c r="B75" s="184"/>
      <c r="C75" s="29"/>
      <c r="D75" s="178"/>
      <c r="E75" s="15"/>
      <c r="F75" s="123"/>
      <c r="G75" s="123"/>
      <c r="H75" s="123"/>
      <c r="I75" s="123"/>
      <c r="J75" s="123"/>
      <c r="K75" s="123"/>
      <c r="L75" s="123"/>
      <c r="M75" s="123"/>
      <c r="N75" s="124"/>
      <c r="O75" s="124"/>
      <c r="P75" s="124"/>
      <c r="Q75" s="124"/>
      <c r="R75" s="124"/>
      <c r="S75" s="124"/>
      <c r="T75" s="124"/>
      <c r="U75" s="124"/>
      <c r="V75" s="124"/>
      <c r="W75" s="124"/>
      <c r="X75" s="124"/>
      <c r="Y75" s="124"/>
      <c r="Z75" s="124"/>
      <c r="AA75" s="124"/>
      <c r="AB75" s="124"/>
    </row>
    <row r="76">
      <c r="A76" s="132">
        <f t="shared" si="1"/>
        <v>46274</v>
      </c>
      <c r="B76" s="184"/>
      <c r="C76" s="29"/>
      <c r="D76" s="178"/>
      <c r="E76" s="15"/>
      <c r="F76" s="123"/>
      <c r="G76" s="123"/>
      <c r="H76" s="123"/>
      <c r="I76" s="123"/>
      <c r="J76" s="123"/>
      <c r="K76" s="123"/>
      <c r="L76" s="123"/>
      <c r="M76" s="123"/>
      <c r="N76" s="124"/>
      <c r="O76" s="124"/>
      <c r="P76" s="124"/>
      <c r="Q76" s="124"/>
      <c r="R76" s="124"/>
      <c r="S76" s="124"/>
      <c r="T76" s="124"/>
      <c r="U76" s="124"/>
      <c r="V76" s="124"/>
      <c r="W76" s="124"/>
      <c r="X76" s="124"/>
      <c r="Y76" s="124"/>
      <c r="Z76" s="124"/>
      <c r="AA76" s="124"/>
      <c r="AB76" s="124"/>
    </row>
    <row r="77">
      <c r="A77" s="132">
        <f t="shared" si="1"/>
        <v>46274</v>
      </c>
      <c r="B77" s="184"/>
      <c r="C77" s="29"/>
      <c r="D77" s="178"/>
      <c r="E77" s="15"/>
      <c r="F77" s="123"/>
      <c r="G77" s="123"/>
      <c r="H77" s="123"/>
      <c r="I77" s="123"/>
      <c r="J77" s="123"/>
      <c r="K77" s="123"/>
      <c r="L77" s="123"/>
      <c r="M77" s="123"/>
      <c r="N77" s="124"/>
      <c r="O77" s="124"/>
      <c r="P77" s="124"/>
      <c r="Q77" s="124"/>
      <c r="R77" s="124"/>
      <c r="S77" s="124"/>
      <c r="T77" s="124"/>
      <c r="U77" s="124"/>
      <c r="V77" s="124"/>
      <c r="W77" s="124"/>
      <c r="X77" s="124"/>
      <c r="Y77" s="124"/>
      <c r="Z77" s="124"/>
      <c r="AA77" s="124"/>
      <c r="AB77" s="124"/>
    </row>
    <row r="78">
      <c r="A78" s="132">
        <f t="shared" si="1"/>
        <v>46274</v>
      </c>
      <c r="B78" s="184"/>
      <c r="C78" s="29"/>
      <c r="D78" s="178"/>
      <c r="E78" s="15"/>
      <c r="F78" s="123"/>
      <c r="G78" s="123"/>
      <c r="H78" s="123"/>
      <c r="I78" s="123"/>
      <c r="J78" s="123"/>
      <c r="K78" s="123"/>
      <c r="L78" s="123"/>
      <c r="M78" s="123"/>
      <c r="N78" s="124"/>
      <c r="O78" s="124"/>
      <c r="P78" s="124"/>
      <c r="Q78" s="124"/>
      <c r="R78" s="124"/>
      <c r="S78" s="124"/>
      <c r="T78" s="124"/>
      <c r="U78" s="124"/>
      <c r="V78" s="124"/>
      <c r="W78" s="124"/>
      <c r="X78" s="124"/>
      <c r="Y78" s="124"/>
      <c r="Z78" s="124"/>
      <c r="AA78" s="124"/>
      <c r="AB78" s="124"/>
    </row>
    <row r="79">
      <c r="A79" s="132">
        <f t="shared" si="1"/>
        <v>46274</v>
      </c>
      <c r="B79" s="184"/>
      <c r="C79" s="29"/>
      <c r="D79" s="178"/>
      <c r="E79" s="15"/>
      <c r="F79" s="123"/>
      <c r="G79" s="123"/>
      <c r="H79" s="123"/>
      <c r="I79" s="123"/>
      <c r="J79" s="123"/>
      <c r="K79" s="123"/>
      <c r="L79" s="123"/>
      <c r="M79" s="123"/>
      <c r="N79" s="124"/>
      <c r="O79" s="124"/>
      <c r="P79" s="124"/>
      <c r="Q79" s="124"/>
      <c r="R79" s="124"/>
      <c r="S79" s="124"/>
      <c r="T79" s="124"/>
      <c r="U79" s="124"/>
      <c r="V79" s="124"/>
      <c r="W79" s="124"/>
      <c r="X79" s="124"/>
      <c r="Y79" s="124"/>
      <c r="Z79" s="124"/>
      <c r="AA79" s="124"/>
      <c r="AB79" s="124"/>
    </row>
    <row r="80">
      <c r="A80" s="132">
        <f t="shared" si="1"/>
        <v>46274</v>
      </c>
      <c r="B80" s="184"/>
      <c r="C80" s="29"/>
      <c r="D80" s="178"/>
      <c r="E80" s="15"/>
      <c r="F80" s="123"/>
      <c r="G80" s="123"/>
      <c r="H80" s="123"/>
      <c r="I80" s="123"/>
      <c r="J80" s="123"/>
      <c r="K80" s="123"/>
      <c r="L80" s="123"/>
      <c r="M80" s="123"/>
      <c r="N80" s="124"/>
      <c r="O80" s="124"/>
      <c r="P80" s="124"/>
      <c r="Q80" s="124"/>
      <c r="R80" s="124"/>
      <c r="S80" s="124"/>
      <c r="T80" s="124"/>
      <c r="U80" s="124"/>
      <c r="V80" s="124"/>
      <c r="W80" s="124"/>
      <c r="X80" s="124"/>
      <c r="Y80" s="124"/>
      <c r="Z80" s="124"/>
      <c r="AA80" s="124"/>
      <c r="AB80" s="124"/>
    </row>
    <row r="81">
      <c r="A81" s="132">
        <f t="shared" si="1"/>
        <v>46274</v>
      </c>
      <c r="B81" s="184"/>
      <c r="C81" s="29"/>
      <c r="D81" s="178"/>
      <c r="E81" s="15"/>
      <c r="F81" s="123"/>
      <c r="G81" s="123"/>
      <c r="H81" s="123"/>
      <c r="I81" s="123"/>
      <c r="J81" s="123"/>
      <c r="K81" s="123"/>
      <c r="L81" s="123"/>
      <c r="M81" s="123"/>
      <c r="N81" s="124"/>
      <c r="O81" s="124"/>
      <c r="P81" s="124"/>
      <c r="Q81" s="124"/>
      <c r="R81" s="124"/>
      <c r="S81" s="124"/>
      <c r="T81" s="124"/>
      <c r="U81" s="124"/>
      <c r="V81" s="124"/>
      <c r="W81" s="124"/>
      <c r="X81" s="124"/>
      <c r="Y81" s="124"/>
      <c r="Z81" s="124"/>
      <c r="AA81" s="124"/>
      <c r="AB81" s="124"/>
    </row>
    <row r="82">
      <c r="A82" s="132">
        <f t="shared" si="1"/>
        <v>46274</v>
      </c>
      <c r="B82" s="184"/>
      <c r="C82" s="29"/>
      <c r="D82" s="178"/>
      <c r="E82" s="15"/>
      <c r="F82" s="123"/>
      <c r="G82" s="123"/>
      <c r="H82" s="123"/>
      <c r="I82" s="123"/>
      <c r="J82" s="123"/>
      <c r="K82" s="123"/>
      <c r="L82" s="123"/>
      <c r="M82" s="123"/>
      <c r="N82" s="124"/>
      <c r="O82" s="124"/>
      <c r="P82" s="124"/>
      <c r="Q82" s="124"/>
      <c r="R82" s="124"/>
      <c r="S82" s="124"/>
      <c r="T82" s="124"/>
      <c r="U82" s="124"/>
      <c r="V82" s="124"/>
      <c r="W82" s="124"/>
      <c r="X82" s="124"/>
      <c r="Y82" s="124"/>
      <c r="Z82" s="124"/>
      <c r="AA82" s="124"/>
      <c r="AB82" s="124"/>
    </row>
    <row r="83">
      <c r="A83" s="132">
        <f t="shared" si="1"/>
        <v>46274</v>
      </c>
      <c r="B83" s="184"/>
      <c r="C83" s="29"/>
      <c r="D83" s="178"/>
      <c r="E83" s="15"/>
      <c r="F83" s="123"/>
      <c r="G83" s="123"/>
      <c r="H83" s="123"/>
      <c r="I83" s="123"/>
      <c r="J83" s="123"/>
      <c r="K83" s="123"/>
      <c r="L83" s="123"/>
      <c r="M83" s="123"/>
      <c r="N83" s="124"/>
      <c r="O83" s="124"/>
      <c r="P83" s="124"/>
      <c r="Q83" s="124"/>
      <c r="R83" s="124"/>
      <c r="S83" s="124"/>
      <c r="T83" s="124"/>
      <c r="U83" s="124"/>
      <c r="V83" s="124"/>
      <c r="W83" s="124"/>
      <c r="X83" s="124"/>
      <c r="Y83" s="124"/>
      <c r="Z83" s="124"/>
      <c r="AA83" s="124"/>
      <c r="AB83" s="124"/>
    </row>
    <row r="84">
      <c r="A84" s="132">
        <f t="shared" si="1"/>
        <v>46274</v>
      </c>
      <c r="B84" s="184"/>
      <c r="C84" s="29"/>
      <c r="D84" s="178"/>
      <c r="E84" s="15"/>
      <c r="F84" s="123"/>
      <c r="G84" s="123"/>
      <c r="H84" s="123"/>
      <c r="I84" s="123"/>
      <c r="J84" s="123"/>
      <c r="K84" s="123"/>
      <c r="L84" s="123"/>
      <c r="M84" s="123"/>
      <c r="N84" s="124"/>
      <c r="O84" s="124"/>
      <c r="P84" s="124"/>
      <c r="Q84" s="124"/>
      <c r="R84" s="124"/>
      <c r="S84" s="124"/>
      <c r="T84" s="124"/>
      <c r="U84" s="124"/>
      <c r="V84" s="124"/>
      <c r="W84" s="124"/>
      <c r="X84" s="124"/>
      <c r="Y84" s="124"/>
      <c r="Z84" s="124"/>
      <c r="AA84" s="124"/>
      <c r="AB84" s="124"/>
    </row>
    <row r="85">
      <c r="A85" s="132">
        <f t="shared" si="1"/>
        <v>46274</v>
      </c>
      <c r="B85" s="184"/>
      <c r="C85" s="29"/>
      <c r="D85" s="178"/>
      <c r="E85" s="15"/>
      <c r="F85" s="123"/>
      <c r="G85" s="123"/>
      <c r="H85" s="123"/>
      <c r="I85" s="123"/>
      <c r="J85" s="123"/>
      <c r="K85" s="123"/>
      <c r="L85" s="123"/>
      <c r="M85" s="123"/>
      <c r="N85" s="124"/>
      <c r="O85" s="124"/>
      <c r="P85" s="124"/>
      <c r="Q85" s="124"/>
      <c r="R85" s="124"/>
      <c r="S85" s="124"/>
      <c r="T85" s="124"/>
      <c r="U85" s="124"/>
      <c r="V85" s="124"/>
      <c r="W85" s="124"/>
      <c r="X85" s="124"/>
      <c r="Y85" s="124"/>
      <c r="Z85" s="124"/>
      <c r="AA85" s="124"/>
      <c r="AB85" s="124"/>
    </row>
    <row r="86">
      <c r="A86" s="132">
        <f t="shared" si="1"/>
        <v>46274</v>
      </c>
      <c r="B86" s="184"/>
      <c r="C86" s="29"/>
      <c r="D86" s="178"/>
      <c r="E86" s="15"/>
      <c r="F86" s="123"/>
      <c r="G86" s="123"/>
      <c r="H86" s="123"/>
      <c r="I86" s="123"/>
      <c r="J86" s="123"/>
      <c r="K86" s="123"/>
      <c r="L86" s="123"/>
      <c r="M86" s="123"/>
      <c r="N86" s="124"/>
      <c r="O86" s="124"/>
      <c r="P86" s="124"/>
      <c r="Q86" s="124"/>
      <c r="R86" s="124"/>
      <c r="S86" s="124"/>
      <c r="T86" s="124"/>
      <c r="U86" s="124"/>
      <c r="V86" s="124"/>
      <c r="W86" s="124"/>
      <c r="X86" s="124"/>
      <c r="Y86" s="124"/>
      <c r="Z86" s="124"/>
      <c r="AA86" s="124"/>
      <c r="AB86" s="124"/>
    </row>
    <row r="87">
      <c r="A87" s="132">
        <f t="shared" si="1"/>
        <v>46274</v>
      </c>
      <c r="B87" s="184"/>
      <c r="C87" s="29"/>
      <c r="D87" s="178"/>
      <c r="E87" s="15"/>
      <c r="F87" s="123"/>
      <c r="G87" s="123"/>
      <c r="H87" s="123"/>
      <c r="I87" s="123"/>
      <c r="J87" s="123"/>
      <c r="K87" s="123"/>
      <c r="L87" s="123"/>
      <c r="M87" s="123"/>
      <c r="N87" s="124"/>
      <c r="O87" s="124"/>
      <c r="P87" s="124"/>
      <c r="Q87" s="124"/>
      <c r="R87" s="124"/>
      <c r="S87" s="124"/>
      <c r="T87" s="124"/>
      <c r="U87" s="124"/>
      <c r="V87" s="124"/>
      <c r="W87" s="124"/>
      <c r="X87" s="124"/>
      <c r="Y87" s="124"/>
      <c r="Z87" s="124"/>
      <c r="AA87" s="124"/>
      <c r="AB87" s="124"/>
    </row>
    <row r="88">
      <c r="A88" s="132">
        <f t="shared" si="1"/>
        <v>46274</v>
      </c>
      <c r="B88" s="184"/>
      <c r="C88" s="29"/>
      <c r="D88" s="178"/>
      <c r="E88" s="15"/>
      <c r="F88" s="123"/>
      <c r="G88" s="123"/>
      <c r="H88" s="123"/>
      <c r="I88" s="123"/>
      <c r="J88" s="123"/>
      <c r="K88" s="123"/>
      <c r="L88" s="123"/>
      <c r="M88" s="123"/>
      <c r="N88" s="124"/>
      <c r="O88" s="124"/>
      <c r="P88" s="124"/>
      <c r="Q88" s="124"/>
      <c r="R88" s="124"/>
      <c r="S88" s="124"/>
      <c r="T88" s="124"/>
      <c r="U88" s="124"/>
      <c r="V88" s="124"/>
      <c r="W88" s="124"/>
      <c r="X88" s="124"/>
      <c r="Y88" s="124"/>
      <c r="Z88" s="124"/>
      <c r="AA88" s="124"/>
      <c r="AB88" s="124"/>
    </row>
    <row r="89">
      <c r="A89" s="132">
        <f t="shared" si="1"/>
        <v>46274</v>
      </c>
      <c r="B89" s="184"/>
      <c r="C89" s="29"/>
      <c r="D89" s="178"/>
      <c r="E89" s="15"/>
      <c r="F89" s="123"/>
      <c r="G89" s="123"/>
      <c r="H89" s="123"/>
      <c r="I89" s="123"/>
      <c r="J89" s="123"/>
      <c r="K89" s="123"/>
      <c r="L89" s="123"/>
      <c r="M89" s="123"/>
      <c r="N89" s="124"/>
      <c r="O89" s="124"/>
      <c r="P89" s="124"/>
      <c r="Q89" s="124"/>
      <c r="R89" s="124"/>
      <c r="S89" s="124"/>
      <c r="T89" s="124"/>
      <c r="U89" s="124"/>
      <c r="V89" s="124"/>
      <c r="W89" s="124"/>
      <c r="X89" s="124"/>
      <c r="Y89" s="124"/>
      <c r="Z89" s="124"/>
      <c r="AA89" s="124"/>
      <c r="AB89" s="124"/>
    </row>
    <row r="90">
      <c r="A90" s="132">
        <f t="shared" si="1"/>
        <v>46274</v>
      </c>
      <c r="B90" s="184"/>
      <c r="C90" s="29"/>
      <c r="D90" s="178"/>
      <c r="E90" s="15"/>
      <c r="F90" s="123"/>
      <c r="G90" s="123"/>
      <c r="H90" s="123"/>
      <c r="I90" s="123"/>
      <c r="J90" s="123"/>
      <c r="K90" s="123"/>
      <c r="L90" s="123"/>
      <c r="M90" s="123"/>
      <c r="N90" s="124"/>
      <c r="O90" s="124"/>
      <c r="P90" s="124"/>
      <c r="Q90" s="124"/>
      <c r="R90" s="124"/>
      <c r="S90" s="124"/>
      <c r="T90" s="124"/>
      <c r="U90" s="124"/>
      <c r="V90" s="124"/>
      <c r="W90" s="124"/>
      <c r="X90" s="124"/>
      <c r="Y90" s="124"/>
      <c r="Z90" s="124"/>
      <c r="AA90" s="124"/>
      <c r="AB90" s="124"/>
    </row>
    <row r="91">
      <c r="A91" s="132">
        <f t="shared" si="1"/>
        <v>46274</v>
      </c>
      <c r="B91" s="184"/>
      <c r="C91" s="29"/>
      <c r="D91" s="178"/>
      <c r="E91" s="15"/>
      <c r="F91" s="123"/>
      <c r="G91" s="123"/>
      <c r="H91" s="123"/>
      <c r="I91" s="123"/>
      <c r="J91" s="123"/>
      <c r="K91" s="123"/>
      <c r="L91" s="123"/>
      <c r="M91" s="123"/>
      <c r="N91" s="124"/>
      <c r="O91" s="124"/>
      <c r="P91" s="124"/>
      <c r="Q91" s="124"/>
      <c r="R91" s="124"/>
      <c r="S91" s="124"/>
      <c r="T91" s="124"/>
      <c r="U91" s="124"/>
      <c r="V91" s="124"/>
      <c r="W91" s="124"/>
      <c r="X91" s="124"/>
      <c r="Y91" s="124"/>
      <c r="Z91" s="124"/>
      <c r="AA91" s="124"/>
      <c r="AB91" s="124"/>
    </row>
    <row r="92">
      <c r="A92" s="132">
        <f t="shared" si="1"/>
        <v>46274</v>
      </c>
      <c r="B92" s="184"/>
      <c r="C92" s="29"/>
      <c r="D92" s="178"/>
      <c r="E92" s="15"/>
      <c r="F92" s="123"/>
      <c r="G92" s="123"/>
      <c r="H92" s="123"/>
      <c r="I92" s="123"/>
      <c r="J92" s="123"/>
      <c r="K92" s="123"/>
      <c r="L92" s="123"/>
      <c r="M92" s="123"/>
      <c r="N92" s="124"/>
      <c r="O92" s="124"/>
      <c r="P92" s="124"/>
      <c r="Q92" s="124"/>
      <c r="R92" s="124"/>
      <c r="S92" s="124"/>
      <c r="T92" s="124"/>
      <c r="U92" s="124"/>
      <c r="V92" s="124"/>
      <c r="W92" s="124"/>
      <c r="X92" s="124"/>
      <c r="Y92" s="124"/>
      <c r="Z92" s="124"/>
      <c r="AA92" s="124"/>
      <c r="AB92" s="124"/>
    </row>
    <row r="93">
      <c r="A93" s="132">
        <f t="shared" si="1"/>
        <v>46274</v>
      </c>
      <c r="B93" s="184"/>
      <c r="C93" s="29"/>
      <c r="D93" s="178"/>
      <c r="E93" s="15"/>
      <c r="F93" s="123"/>
      <c r="G93" s="123"/>
      <c r="H93" s="123"/>
      <c r="I93" s="123"/>
      <c r="J93" s="123"/>
      <c r="K93" s="123"/>
      <c r="L93" s="123"/>
      <c r="M93" s="123"/>
      <c r="N93" s="124"/>
      <c r="O93" s="124"/>
      <c r="P93" s="124"/>
      <c r="Q93" s="124"/>
      <c r="R93" s="124"/>
      <c r="S93" s="124"/>
      <c r="T93" s="124"/>
      <c r="U93" s="124"/>
      <c r="V93" s="124"/>
      <c r="W93" s="124"/>
      <c r="X93" s="124"/>
      <c r="Y93" s="124"/>
      <c r="Z93" s="124"/>
      <c r="AA93" s="124"/>
      <c r="AB93" s="124"/>
    </row>
    <row r="94">
      <c r="A94" s="132">
        <f t="shared" si="1"/>
        <v>46274</v>
      </c>
      <c r="B94" s="184"/>
      <c r="C94" s="29"/>
      <c r="D94" s="178"/>
      <c r="E94" s="15"/>
      <c r="F94" s="123"/>
      <c r="G94" s="123"/>
      <c r="H94" s="123"/>
      <c r="I94" s="123"/>
      <c r="J94" s="123"/>
      <c r="K94" s="123"/>
      <c r="L94" s="123"/>
      <c r="M94" s="123"/>
      <c r="N94" s="124"/>
      <c r="O94" s="124"/>
      <c r="P94" s="124"/>
      <c r="Q94" s="124"/>
      <c r="R94" s="124"/>
      <c r="S94" s="124"/>
      <c r="T94" s="124"/>
      <c r="U94" s="124"/>
      <c r="V94" s="124"/>
      <c r="W94" s="124"/>
      <c r="X94" s="124"/>
      <c r="Y94" s="124"/>
      <c r="Z94" s="124"/>
      <c r="AA94" s="124"/>
      <c r="AB94" s="124"/>
    </row>
    <row r="95">
      <c r="A95" s="132">
        <f t="shared" si="1"/>
        <v>46274</v>
      </c>
      <c r="B95" s="184"/>
      <c r="C95" s="29"/>
      <c r="D95" s="178"/>
      <c r="E95" s="15"/>
      <c r="F95" s="123"/>
      <c r="G95" s="123"/>
      <c r="H95" s="123"/>
      <c r="I95" s="123"/>
      <c r="J95" s="123"/>
      <c r="K95" s="123"/>
      <c r="L95" s="123"/>
      <c r="M95" s="123"/>
      <c r="N95" s="124"/>
      <c r="O95" s="124"/>
      <c r="P95" s="124"/>
      <c r="Q95" s="124"/>
      <c r="R95" s="124"/>
      <c r="S95" s="124"/>
      <c r="T95" s="124"/>
      <c r="U95" s="124"/>
      <c r="V95" s="124"/>
      <c r="W95" s="124"/>
      <c r="X95" s="124"/>
      <c r="Y95" s="124"/>
      <c r="Z95" s="124"/>
      <c r="AA95" s="124"/>
      <c r="AB95" s="124"/>
    </row>
    <row r="96">
      <c r="A96" s="132">
        <f t="shared" si="1"/>
        <v>46274</v>
      </c>
      <c r="B96" s="184"/>
      <c r="C96" s="29"/>
      <c r="D96" s="178"/>
      <c r="E96" s="15"/>
      <c r="F96" s="123"/>
      <c r="G96" s="123"/>
      <c r="H96" s="123"/>
      <c r="I96" s="123"/>
      <c r="J96" s="123"/>
      <c r="K96" s="123"/>
      <c r="L96" s="123"/>
      <c r="M96" s="123"/>
      <c r="N96" s="124"/>
      <c r="O96" s="124"/>
      <c r="P96" s="124"/>
      <c r="Q96" s="124"/>
      <c r="R96" s="124"/>
      <c r="S96" s="124"/>
      <c r="T96" s="124"/>
      <c r="U96" s="124"/>
      <c r="V96" s="124"/>
      <c r="W96" s="124"/>
      <c r="X96" s="124"/>
      <c r="Y96" s="124"/>
      <c r="Z96" s="124"/>
      <c r="AA96" s="124"/>
      <c r="AB96" s="124"/>
    </row>
    <row r="97">
      <c r="A97" s="132">
        <f t="shared" si="1"/>
        <v>46274</v>
      </c>
      <c r="B97" s="184"/>
      <c r="C97" s="29"/>
      <c r="D97" s="178"/>
      <c r="E97" s="15"/>
      <c r="F97" s="123"/>
      <c r="G97" s="123"/>
      <c r="H97" s="123"/>
      <c r="I97" s="123"/>
      <c r="J97" s="123"/>
      <c r="K97" s="123"/>
      <c r="L97" s="123"/>
      <c r="M97" s="123"/>
      <c r="N97" s="124"/>
      <c r="O97" s="124"/>
      <c r="P97" s="124"/>
      <c r="Q97" s="124"/>
      <c r="R97" s="124"/>
      <c r="S97" s="124"/>
      <c r="T97" s="124"/>
      <c r="U97" s="124"/>
      <c r="V97" s="124"/>
      <c r="W97" s="124"/>
      <c r="X97" s="124"/>
      <c r="Y97" s="124"/>
      <c r="Z97" s="124"/>
      <c r="AA97" s="124"/>
      <c r="AB97" s="124"/>
    </row>
    <row r="98">
      <c r="A98" s="132">
        <f t="shared" si="1"/>
        <v>46274</v>
      </c>
      <c r="B98" s="184"/>
      <c r="C98" s="29"/>
      <c r="D98" s="178"/>
      <c r="E98" s="15"/>
      <c r="F98" s="123"/>
      <c r="G98" s="123"/>
      <c r="H98" s="123"/>
      <c r="I98" s="123"/>
      <c r="J98" s="123"/>
      <c r="K98" s="123"/>
      <c r="L98" s="123"/>
      <c r="M98" s="123"/>
      <c r="N98" s="124"/>
      <c r="O98" s="124"/>
      <c r="P98" s="124"/>
      <c r="Q98" s="124"/>
      <c r="R98" s="124"/>
      <c r="S98" s="124"/>
      <c r="T98" s="124"/>
      <c r="U98" s="124"/>
      <c r="V98" s="124"/>
      <c r="W98" s="124"/>
      <c r="X98" s="124"/>
      <c r="Y98" s="124"/>
      <c r="Z98" s="124"/>
      <c r="AA98" s="124"/>
      <c r="AB98" s="124"/>
    </row>
    <row r="99">
      <c r="A99" s="132">
        <f t="shared" si="1"/>
        <v>46274</v>
      </c>
      <c r="B99" s="184"/>
      <c r="C99" s="29"/>
      <c r="D99" s="178"/>
      <c r="E99" s="15"/>
      <c r="F99" s="123"/>
      <c r="G99" s="123"/>
      <c r="H99" s="123"/>
      <c r="I99" s="123"/>
      <c r="J99" s="123"/>
      <c r="K99" s="123"/>
      <c r="L99" s="123"/>
      <c r="M99" s="123"/>
      <c r="N99" s="124"/>
      <c r="O99" s="124"/>
      <c r="P99" s="124"/>
      <c r="Q99" s="124"/>
      <c r="R99" s="124"/>
      <c r="S99" s="124"/>
      <c r="T99" s="124"/>
      <c r="U99" s="124"/>
      <c r="V99" s="124"/>
      <c r="W99" s="124"/>
      <c r="X99" s="124"/>
      <c r="Y99" s="124"/>
      <c r="Z99" s="124"/>
      <c r="AA99" s="124"/>
      <c r="AB99" s="124"/>
    </row>
    <row r="100">
      <c r="A100" s="132">
        <f t="shared" si="1"/>
        <v>46274</v>
      </c>
      <c r="B100" s="184"/>
      <c r="C100" s="29"/>
      <c r="D100" s="178"/>
      <c r="E100" s="15"/>
      <c r="F100" s="123"/>
      <c r="G100" s="123"/>
      <c r="H100" s="123"/>
      <c r="I100" s="123"/>
      <c r="J100" s="123"/>
      <c r="K100" s="123"/>
      <c r="L100" s="123"/>
      <c r="M100" s="123"/>
      <c r="N100" s="124"/>
      <c r="O100" s="124"/>
      <c r="P100" s="124"/>
      <c r="Q100" s="124"/>
      <c r="R100" s="124"/>
      <c r="S100" s="124"/>
      <c r="T100" s="124"/>
      <c r="U100" s="124"/>
      <c r="V100" s="124"/>
      <c r="W100" s="124"/>
      <c r="X100" s="124"/>
      <c r="Y100" s="124"/>
      <c r="Z100" s="124"/>
      <c r="AA100" s="124"/>
      <c r="AB100" s="124"/>
    </row>
    <row r="101">
      <c r="A101" s="132">
        <f t="shared" si="1"/>
        <v>46274</v>
      </c>
      <c r="B101" s="184"/>
      <c r="C101" s="29"/>
      <c r="D101" s="178"/>
      <c r="E101" s="15"/>
      <c r="F101" s="123"/>
      <c r="G101" s="123"/>
      <c r="H101" s="123"/>
      <c r="I101" s="123"/>
      <c r="J101" s="123"/>
      <c r="K101" s="123"/>
      <c r="L101" s="123"/>
      <c r="M101" s="123"/>
      <c r="N101" s="124"/>
      <c r="O101" s="124"/>
      <c r="P101" s="124"/>
      <c r="Q101" s="124"/>
      <c r="R101" s="124"/>
      <c r="S101" s="124"/>
      <c r="T101" s="124"/>
      <c r="U101" s="124"/>
      <c r="V101" s="124"/>
      <c r="W101" s="124"/>
      <c r="X101" s="124"/>
      <c r="Y101" s="124"/>
      <c r="Z101" s="124"/>
      <c r="AA101" s="124"/>
      <c r="AB101" s="124"/>
    </row>
    <row r="102">
      <c r="A102" s="132">
        <f t="shared" si="1"/>
        <v>46274</v>
      </c>
      <c r="B102" s="184"/>
      <c r="C102" s="29"/>
      <c r="D102" s="178"/>
      <c r="E102" s="15"/>
      <c r="F102" s="123"/>
      <c r="G102" s="123"/>
      <c r="H102" s="123"/>
      <c r="I102" s="123"/>
      <c r="J102" s="123"/>
      <c r="K102" s="123"/>
      <c r="L102" s="123"/>
      <c r="M102" s="123"/>
      <c r="N102" s="124"/>
      <c r="O102" s="124"/>
      <c r="P102" s="124"/>
      <c r="Q102" s="124"/>
      <c r="R102" s="124"/>
      <c r="S102" s="124"/>
      <c r="T102" s="124"/>
      <c r="U102" s="124"/>
      <c r="V102" s="124"/>
      <c r="W102" s="124"/>
      <c r="X102" s="124"/>
      <c r="Y102" s="124"/>
      <c r="Z102" s="124"/>
      <c r="AA102" s="124"/>
      <c r="AB102" s="124"/>
    </row>
    <row r="103">
      <c r="A103" s="132">
        <f t="shared" si="1"/>
        <v>46274</v>
      </c>
      <c r="B103" s="184"/>
      <c r="C103" s="29"/>
      <c r="D103" s="178"/>
      <c r="E103" s="15"/>
      <c r="F103" s="123"/>
      <c r="G103" s="123"/>
      <c r="H103" s="123"/>
      <c r="I103" s="123"/>
      <c r="J103" s="123"/>
      <c r="K103" s="123"/>
      <c r="L103" s="123"/>
      <c r="M103" s="123"/>
      <c r="N103" s="124"/>
      <c r="O103" s="124"/>
      <c r="P103" s="124"/>
      <c r="Q103" s="124"/>
      <c r="R103" s="124"/>
      <c r="S103" s="124"/>
      <c r="T103" s="124"/>
      <c r="U103" s="124"/>
      <c r="V103" s="124"/>
      <c r="W103" s="124"/>
      <c r="X103" s="124"/>
      <c r="Y103" s="124"/>
      <c r="Z103" s="124"/>
      <c r="AA103" s="124"/>
      <c r="AB103" s="124"/>
    </row>
    <row r="104">
      <c r="A104" s="132">
        <f t="shared" si="1"/>
        <v>46274</v>
      </c>
      <c r="B104" s="184"/>
      <c r="C104" s="29"/>
      <c r="D104" s="178"/>
      <c r="E104" s="15"/>
      <c r="F104" s="123"/>
      <c r="G104" s="123"/>
      <c r="H104" s="123"/>
      <c r="I104" s="123"/>
      <c r="J104" s="123"/>
      <c r="K104" s="123"/>
      <c r="L104" s="123"/>
      <c r="M104" s="123"/>
      <c r="N104" s="124"/>
      <c r="O104" s="124"/>
      <c r="P104" s="124"/>
      <c r="Q104" s="124"/>
      <c r="R104" s="124"/>
      <c r="S104" s="124"/>
      <c r="T104" s="124"/>
      <c r="U104" s="124"/>
      <c r="V104" s="124"/>
      <c r="W104" s="124"/>
      <c r="X104" s="124"/>
      <c r="Y104" s="124"/>
      <c r="Z104" s="124"/>
      <c r="AA104" s="124"/>
      <c r="AB104" s="124"/>
    </row>
    <row r="105">
      <c r="A105" s="132">
        <f t="shared" si="1"/>
        <v>46274</v>
      </c>
      <c r="B105" s="184"/>
      <c r="C105" s="29"/>
      <c r="D105" s="178"/>
      <c r="E105" s="15"/>
      <c r="F105" s="123"/>
      <c r="G105" s="123"/>
      <c r="H105" s="123"/>
      <c r="I105" s="123"/>
      <c r="J105" s="123"/>
      <c r="K105" s="123"/>
      <c r="L105" s="123"/>
      <c r="M105" s="123"/>
      <c r="N105" s="124"/>
      <c r="O105" s="124"/>
      <c r="P105" s="124"/>
      <c r="Q105" s="124"/>
      <c r="R105" s="124"/>
      <c r="S105" s="124"/>
      <c r="T105" s="124"/>
      <c r="U105" s="124"/>
      <c r="V105" s="124"/>
      <c r="W105" s="124"/>
      <c r="X105" s="124"/>
      <c r="Y105" s="124"/>
      <c r="Z105" s="124"/>
      <c r="AA105" s="124"/>
      <c r="AB105" s="124"/>
    </row>
    <row r="106">
      <c r="A106" s="132">
        <f t="shared" si="1"/>
        <v>46274</v>
      </c>
      <c r="B106" s="184"/>
      <c r="C106" s="29"/>
      <c r="D106" s="178"/>
      <c r="E106" s="15"/>
      <c r="F106" s="123"/>
      <c r="G106" s="123"/>
      <c r="H106" s="123"/>
      <c r="I106" s="123"/>
      <c r="J106" s="123"/>
      <c r="K106" s="123"/>
      <c r="L106" s="123"/>
      <c r="M106" s="123"/>
      <c r="N106" s="124"/>
      <c r="O106" s="124"/>
      <c r="P106" s="124"/>
      <c r="Q106" s="124"/>
      <c r="R106" s="124"/>
      <c r="S106" s="124"/>
      <c r="T106" s="124"/>
      <c r="U106" s="124"/>
      <c r="V106" s="124"/>
      <c r="W106" s="124"/>
      <c r="X106" s="124"/>
      <c r="Y106" s="124"/>
      <c r="Z106" s="124"/>
      <c r="AA106" s="124"/>
      <c r="AB106" s="124"/>
    </row>
    <row r="107">
      <c r="A107" s="132">
        <f t="shared" si="1"/>
        <v>46274</v>
      </c>
      <c r="B107" s="184"/>
      <c r="C107" s="29"/>
      <c r="D107" s="178"/>
      <c r="E107" s="15"/>
      <c r="F107" s="123"/>
      <c r="G107" s="123"/>
      <c r="H107" s="123"/>
      <c r="I107" s="123"/>
      <c r="J107" s="123"/>
      <c r="K107" s="123"/>
      <c r="L107" s="123"/>
      <c r="M107" s="123"/>
      <c r="N107" s="124"/>
      <c r="O107" s="124"/>
      <c r="P107" s="124"/>
      <c r="Q107" s="124"/>
      <c r="R107" s="124"/>
      <c r="S107" s="124"/>
      <c r="T107" s="124"/>
      <c r="U107" s="124"/>
      <c r="V107" s="124"/>
      <c r="W107" s="124"/>
      <c r="X107" s="124"/>
      <c r="Y107" s="124"/>
      <c r="Z107" s="124"/>
      <c r="AA107" s="124"/>
      <c r="AB107" s="124"/>
    </row>
    <row r="108">
      <c r="A108" s="132">
        <f t="shared" si="1"/>
        <v>46274</v>
      </c>
      <c r="B108" s="184"/>
      <c r="C108" s="29"/>
      <c r="D108" s="178"/>
      <c r="E108" s="15"/>
      <c r="F108" s="123"/>
      <c r="G108" s="123"/>
      <c r="H108" s="123"/>
      <c r="I108" s="123"/>
      <c r="J108" s="123"/>
      <c r="K108" s="123"/>
      <c r="L108" s="123"/>
      <c r="M108" s="123"/>
      <c r="N108" s="124"/>
      <c r="O108" s="124"/>
      <c r="P108" s="124"/>
      <c r="Q108" s="124"/>
      <c r="R108" s="124"/>
      <c r="S108" s="124"/>
      <c r="T108" s="124"/>
      <c r="U108" s="124"/>
      <c r="V108" s="124"/>
      <c r="W108" s="124"/>
      <c r="X108" s="124"/>
      <c r="Y108" s="124"/>
      <c r="Z108" s="124"/>
      <c r="AA108" s="124"/>
      <c r="AB108" s="124"/>
    </row>
    <row r="109">
      <c r="A109" s="132">
        <f t="shared" si="1"/>
        <v>46274</v>
      </c>
      <c r="B109" s="184"/>
      <c r="C109" s="29"/>
      <c r="D109" s="178"/>
      <c r="E109" s="15"/>
      <c r="F109" s="123"/>
      <c r="G109" s="123"/>
      <c r="H109" s="123"/>
      <c r="I109" s="123"/>
      <c r="J109" s="123"/>
      <c r="K109" s="123"/>
      <c r="L109" s="123"/>
      <c r="M109" s="123"/>
      <c r="N109" s="124"/>
      <c r="O109" s="124"/>
      <c r="P109" s="124"/>
      <c r="Q109" s="124"/>
      <c r="R109" s="124"/>
      <c r="S109" s="124"/>
      <c r="T109" s="124"/>
      <c r="U109" s="124"/>
      <c r="V109" s="124"/>
      <c r="W109" s="124"/>
      <c r="X109" s="124"/>
      <c r="Y109" s="124"/>
      <c r="Z109" s="124"/>
      <c r="AA109" s="124"/>
      <c r="AB109" s="124"/>
    </row>
    <row r="110">
      <c r="A110" s="132">
        <f t="shared" si="1"/>
        <v>46274</v>
      </c>
      <c r="B110" s="184"/>
      <c r="C110" s="29"/>
      <c r="D110" s="178"/>
      <c r="E110" s="15"/>
      <c r="F110" s="123"/>
      <c r="G110" s="123"/>
      <c r="H110" s="123"/>
      <c r="I110" s="123"/>
      <c r="J110" s="123"/>
      <c r="K110" s="123"/>
      <c r="L110" s="123"/>
      <c r="M110" s="123"/>
      <c r="N110" s="124"/>
      <c r="O110" s="124"/>
      <c r="P110" s="124"/>
      <c r="Q110" s="124"/>
      <c r="R110" s="124"/>
      <c r="S110" s="124"/>
      <c r="T110" s="124"/>
      <c r="U110" s="124"/>
      <c r="V110" s="124"/>
      <c r="W110" s="124"/>
      <c r="X110" s="124"/>
      <c r="Y110" s="124"/>
      <c r="Z110" s="124"/>
      <c r="AA110" s="124"/>
      <c r="AB110" s="124"/>
    </row>
    <row r="111">
      <c r="A111" s="132">
        <f t="shared" si="1"/>
        <v>46274</v>
      </c>
      <c r="B111" s="184"/>
      <c r="C111" s="29"/>
      <c r="D111" s="178"/>
      <c r="E111" s="15"/>
      <c r="F111" s="123"/>
      <c r="G111" s="123"/>
      <c r="H111" s="123"/>
      <c r="I111" s="123"/>
      <c r="J111" s="123"/>
      <c r="K111" s="123"/>
      <c r="L111" s="123"/>
      <c r="M111" s="123"/>
      <c r="N111" s="124"/>
      <c r="O111" s="124"/>
      <c r="P111" s="124"/>
      <c r="Q111" s="124"/>
      <c r="R111" s="124"/>
      <c r="S111" s="124"/>
      <c r="T111" s="124"/>
      <c r="U111" s="124"/>
      <c r="V111" s="124"/>
      <c r="W111" s="124"/>
      <c r="X111" s="124"/>
      <c r="Y111" s="124"/>
      <c r="Z111" s="124"/>
      <c r="AA111" s="124"/>
      <c r="AB111" s="124"/>
    </row>
    <row r="112">
      <c r="A112" s="132">
        <f t="shared" si="1"/>
        <v>46274</v>
      </c>
      <c r="B112" s="184"/>
      <c r="C112" s="29"/>
      <c r="D112" s="178"/>
      <c r="E112" s="15"/>
      <c r="F112" s="123"/>
      <c r="G112" s="123"/>
      <c r="H112" s="123"/>
      <c r="I112" s="123"/>
      <c r="J112" s="123"/>
      <c r="K112" s="123"/>
      <c r="L112" s="123"/>
      <c r="M112" s="123"/>
      <c r="N112" s="124"/>
      <c r="O112" s="124"/>
      <c r="P112" s="124"/>
      <c r="Q112" s="124"/>
      <c r="R112" s="124"/>
      <c r="S112" s="124"/>
      <c r="T112" s="124"/>
      <c r="U112" s="124"/>
      <c r="V112" s="124"/>
      <c r="W112" s="124"/>
      <c r="X112" s="124"/>
      <c r="Y112" s="124"/>
      <c r="Z112" s="124"/>
      <c r="AA112" s="124"/>
      <c r="AB112" s="124"/>
    </row>
    <row r="113">
      <c r="A113" s="132">
        <f t="shared" si="1"/>
        <v>46274</v>
      </c>
      <c r="B113" s="184"/>
      <c r="C113" s="29"/>
      <c r="D113" s="178"/>
      <c r="E113" s="15"/>
      <c r="F113" s="123"/>
      <c r="G113" s="123"/>
      <c r="H113" s="123"/>
      <c r="I113" s="123"/>
      <c r="J113" s="123"/>
      <c r="K113" s="123"/>
      <c r="L113" s="123"/>
      <c r="M113" s="123"/>
      <c r="N113" s="124"/>
      <c r="O113" s="124"/>
      <c r="P113" s="124"/>
      <c r="Q113" s="124"/>
      <c r="R113" s="124"/>
      <c r="S113" s="124"/>
      <c r="T113" s="124"/>
      <c r="U113" s="124"/>
      <c r="V113" s="124"/>
      <c r="W113" s="124"/>
      <c r="X113" s="124"/>
      <c r="Y113" s="124"/>
      <c r="Z113" s="124"/>
      <c r="AA113" s="124"/>
      <c r="AB113" s="124"/>
    </row>
    <row r="114">
      <c r="A114" s="132">
        <f t="shared" si="1"/>
        <v>46274</v>
      </c>
      <c r="B114" s="184"/>
      <c r="C114" s="29"/>
      <c r="D114" s="178"/>
      <c r="E114" s="15"/>
      <c r="F114" s="123"/>
      <c r="G114" s="123"/>
      <c r="H114" s="123"/>
      <c r="I114" s="123"/>
      <c r="J114" s="123"/>
      <c r="K114" s="123"/>
      <c r="L114" s="123"/>
      <c r="M114" s="123"/>
      <c r="N114" s="124"/>
      <c r="O114" s="124"/>
      <c r="P114" s="124"/>
      <c r="Q114" s="124"/>
      <c r="R114" s="124"/>
      <c r="S114" s="124"/>
      <c r="T114" s="124"/>
      <c r="U114" s="124"/>
      <c r="V114" s="124"/>
      <c r="W114" s="124"/>
      <c r="X114" s="124"/>
      <c r="Y114" s="124"/>
      <c r="Z114" s="124"/>
      <c r="AA114" s="124"/>
      <c r="AB114" s="124"/>
    </row>
    <row r="115">
      <c r="A115" s="132">
        <f t="shared" si="1"/>
        <v>46274</v>
      </c>
      <c r="B115" s="184"/>
      <c r="C115" s="29"/>
      <c r="D115" s="178"/>
      <c r="E115" s="15"/>
      <c r="F115" s="123"/>
      <c r="G115" s="123"/>
      <c r="H115" s="123"/>
      <c r="I115" s="123"/>
      <c r="J115" s="123"/>
      <c r="K115" s="123"/>
      <c r="L115" s="123"/>
      <c r="M115" s="123"/>
      <c r="N115" s="124"/>
      <c r="O115" s="124"/>
      <c r="P115" s="124"/>
      <c r="Q115" s="124"/>
      <c r="R115" s="124"/>
      <c r="S115" s="124"/>
      <c r="T115" s="124"/>
      <c r="U115" s="124"/>
      <c r="V115" s="124"/>
      <c r="W115" s="124"/>
      <c r="X115" s="124"/>
      <c r="Y115" s="124"/>
      <c r="Z115" s="124"/>
      <c r="AA115" s="124"/>
      <c r="AB115" s="124"/>
    </row>
    <row r="116">
      <c r="A116" s="132">
        <f t="shared" si="1"/>
        <v>46274</v>
      </c>
      <c r="B116" s="184"/>
      <c r="C116" s="29"/>
      <c r="D116" s="178"/>
      <c r="E116" s="15"/>
      <c r="F116" s="123"/>
      <c r="G116" s="123"/>
      <c r="H116" s="123"/>
      <c r="I116" s="123"/>
      <c r="J116" s="123"/>
      <c r="K116" s="123"/>
      <c r="L116" s="123"/>
      <c r="M116" s="123"/>
      <c r="N116" s="124"/>
      <c r="O116" s="124"/>
      <c r="P116" s="124"/>
      <c r="Q116" s="124"/>
      <c r="R116" s="124"/>
      <c r="S116" s="124"/>
      <c r="T116" s="124"/>
      <c r="U116" s="124"/>
      <c r="V116" s="124"/>
      <c r="W116" s="124"/>
      <c r="X116" s="124"/>
      <c r="Y116" s="124"/>
      <c r="Z116" s="124"/>
      <c r="AA116" s="124"/>
      <c r="AB116" s="124"/>
    </row>
    <row r="117">
      <c r="A117" s="132">
        <f t="shared" si="1"/>
        <v>46274</v>
      </c>
      <c r="B117" s="184"/>
      <c r="C117" s="29"/>
      <c r="D117" s="178"/>
      <c r="E117" s="15"/>
      <c r="F117" s="123"/>
      <c r="G117" s="123"/>
      <c r="H117" s="123"/>
      <c r="I117" s="123"/>
      <c r="J117" s="123"/>
      <c r="K117" s="123"/>
      <c r="L117" s="123"/>
      <c r="M117" s="123"/>
      <c r="N117" s="124"/>
      <c r="O117" s="124"/>
      <c r="P117" s="124"/>
      <c r="Q117" s="124"/>
      <c r="R117" s="124"/>
      <c r="S117" s="124"/>
      <c r="T117" s="124"/>
      <c r="U117" s="124"/>
      <c r="V117" s="124"/>
      <c r="W117" s="124"/>
      <c r="X117" s="124"/>
      <c r="Y117" s="124"/>
      <c r="Z117" s="124"/>
      <c r="AA117" s="124"/>
      <c r="AB117" s="124"/>
    </row>
    <row r="118">
      <c r="A118" s="132">
        <f t="shared" si="1"/>
        <v>46274</v>
      </c>
      <c r="B118" s="184"/>
      <c r="C118" s="29"/>
      <c r="D118" s="178"/>
      <c r="E118" s="15"/>
      <c r="F118" s="123"/>
      <c r="G118" s="123"/>
      <c r="H118" s="123"/>
      <c r="I118" s="123"/>
      <c r="J118" s="123"/>
      <c r="K118" s="123"/>
      <c r="L118" s="123"/>
      <c r="M118" s="123"/>
      <c r="N118" s="124"/>
      <c r="O118" s="124"/>
      <c r="P118" s="124"/>
      <c r="Q118" s="124"/>
      <c r="R118" s="124"/>
      <c r="S118" s="124"/>
      <c r="T118" s="124"/>
      <c r="U118" s="124"/>
      <c r="V118" s="124"/>
      <c r="W118" s="124"/>
      <c r="X118" s="124"/>
      <c r="Y118" s="124"/>
      <c r="Z118" s="124"/>
      <c r="AA118" s="124"/>
      <c r="AB118" s="124"/>
    </row>
    <row r="119">
      <c r="A119" s="132">
        <f t="shared" si="1"/>
        <v>46274</v>
      </c>
      <c r="B119" s="184"/>
      <c r="C119" s="29"/>
      <c r="D119" s="178"/>
      <c r="E119" s="15"/>
      <c r="F119" s="123"/>
      <c r="G119" s="123"/>
      <c r="H119" s="123"/>
      <c r="I119" s="123"/>
      <c r="J119" s="123"/>
      <c r="K119" s="123"/>
      <c r="L119" s="123"/>
      <c r="M119" s="123"/>
      <c r="N119" s="124"/>
      <c r="O119" s="124"/>
      <c r="P119" s="124"/>
      <c r="Q119" s="124"/>
      <c r="R119" s="124"/>
      <c r="S119" s="124"/>
      <c r="T119" s="124"/>
      <c r="U119" s="124"/>
      <c r="V119" s="124"/>
      <c r="W119" s="124"/>
      <c r="X119" s="124"/>
      <c r="Y119" s="124"/>
      <c r="Z119" s="124"/>
      <c r="AA119" s="124"/>
      <c r="AB119" s="124"/>
    </row>
    <row r="120">
      <c r="A120" s="132">
        <f t="shared" si="1"/>
        <v>46274</v>
      </c>
      <c r="B120" s="184"/>
      <c r="C120" s="29"/>
      <c r="D120" s="178"/>
      <c r="E120" s="15"/>
      <c r="F120" s="123"/>
      <c r="G120" s="123"/>
      <c r="H120" s="123"/>
      <c r="I120" s="123"/>
      <c r="J120" s="123"/>
      <c r="K120" s="123"/>
      <c r="L120" s="123"/>
      <c r="M120" s="123"/>
      <c r="N120" s="124"/>
      <c r="O120" s="124"/>
      <c r="P120" s="124"/>
      <c r="Q120" s="124"/>
      <c r="R120" s="124"/>
      <c r="S120" s="124"/>
      <c r="T120" s="124"/>
      <c r="U120" s="124"/>
      <c r="V120" s="124"/>
      <c r="W120" s="124"/>
      <c r="X120" s="124"/>
      <c r="Y120" s="124"/>
      <c r="Z120" s="124"/>
      <c r="AA120" s="124"/>
      <c r="AB120" s="124"/>
    </row>
    <row r="121">
      <c r="A121" s="132">
        <f t="shared" si="1"/>
        <v>46274</v>
      </c>
      <c r="B121" s="184"/>
      <c r="C121" s="29"/>
      <c r="D121" s="178"/>
      <c r="E121" s="15"/>
      <c r="F121" s="123"/>
      <c r="G121" s="123"/>
      <c r="H121" s="123"/>
      <c r="I121" s="123"/>
      <c r="J121" s="123"/>
      <c r="K121" s="123"/>
      <c r="L121" s="123"/>
      <c r="M121" s="123"/>
      <c r="N121" s="124"/>
      <c r="O121" s="124"/>
      <c r="P121" s="124"/>
      <c r="Q121" s="124"/>
      <c r="R121" s="124"/>
      <c r="S121" s="124"/>
      <c r="T121" s="124"/>
      <c r="U121" s="124"/>
      <c r="V121" s="124"/>
      <c r="W121" s="124"/>
      <c r="X121" s="124"/>
      <c r="Y121" s="124"/>
      <c r="Z121" s="124"/>
      <c r="AA121" s="124"/>
      <c r="AB121" s="124"/>
    </row>
    <row r="122">
      <c r="A122" s="132">
        <f t="shared" si="1"/>
        <v>46274</v>
      </c>
      <c r="B122" s="184"/>
      <c r="C122" s="29"/>
      <c r="D122" s="178"/>
      <c r="E122" s="15"/>
      <c r="F122" s="123"/>
      <c r="G122" s="123"/>
      <c r="H122" s="123"/>
      <c r="I122" s="123"/>
      <c r="J122" s="123"/>
      <c r="K122" s="123"/>
      <c r="L122" s="123"/>
      <c r="M122" s="123"/>
      <c r="N122" s="124"/>
      <c r="O122" s="124"/>
      <c r="P122" s="124"/>
      <c r="Q122" s="124"/>
      <c r="R122" s="124"/>
      <c r="S122" s="124"/>
      <c r="T122" s="124"/>
      <c r="U122" s="124"/>
      <c r="V122" s="124"/>
      <c r="W122" s="124"/>
      <c r="X122" s="124"/>
      <c r="Y122" s="124"/>
      <c r="Z122" s="124"/>
      <c r="AA122" s="124"/>
      <c r="AB122" s="124"/>
    </row>
    <row r="123">
      <c r="A123" s="132">
        <f t="shared" si="1"/>
        <v>46274</v>
      </c>
      <c r="B123" s="184"/>
      <c r="C123" s="29"/>
      <c r="D123" s="178"/>
      <c r="E123" s="15"/>
      <c r="F123" s="123"/>
      <c r="G123" s="123"/>
      <c r="H123" s="123"/>
      <c r="I123" s="123"/>
      <c r="J123" s="123"/>
      <c r="K123" s="123"/>
      <c r="L123" s="123"/>
      <c r="M123" s="123"/>
      <c r="N123" s="124"/>
      <c r="O123" s="124"/>
      <c r="P123" s="124"/>
      <c r="Q123" s="124"/>
      <c r="R123" s="124"/>
      <c r="S123" s="124"/>
      <c r="T123" s="124"/>
      <c r="U123" s="124"/>
      <c r="V123" s="124"/>
      <c r="W123" s="124"/>
      <c r="X123" s="124"/>
      <c r="Y123" s="124"/>
      <c r="Z123" s="124"/>
      <c r="AA123" s="124"/>
      <c r="AB123" s="124"/>
    </row>
    <row r="124">
      <c r="A124" s="132">
        <f t="shared" si="1"/>
        <v>46274</v>
      </c>
      <c r="B124" s="184"/>
      <c r="C124" s="29"/>
      <c r="D124" s="178"/>
      <c r="E124" s="15"/>
      <c r="F124" s="123"/>
      <c r="G124" s="123"/>
      <c r="H124" s="123"/>
      <c r="I124" s="123"/>
      <c r="J124" s="123"/>
      <c r="K124" s="123"/>
      <c r="L124" s="123"/>
      <c r="M124" s="123"/>
      <c r="N124" s="124"/>
      <c r="O124" s="124"/>
      <c r="P124" s="124"/>
      <c r="Q124" s="124"/>
      <c r="R124" s="124"/>
      <c r="S124" s="124"/>
      <c r="T124" s="124"/>
      <c r="U124" s="124"/>
      <c r="V124" s="124"/>
      <c r="W124" s="124"/>
      <c r="X124" s="124"/>
      <c r="Y124" s="124"/>
      <c r="Z124" s="124"/>
      <c r="AA124" s="124"/>
      <c r="AB124" s="124"/>
    </row>
    <row r="125">
      <c r="A125" s="132">
        <f t="shared" si="1"/>
        <v>46274</v>
      </c>
      <c r="B125" s="184"/>
      <c r="C125" s="29"/>
      <c r="D125" s="178"/>
      <c r="E125" s="15"/>
      <c r="F125" s="123"/>
      <c r="G125" s="123"/>
      <c r="H125" s="123"/>
      <c r="I125" s="123"/>
      <c r="J125" s="123"/>
      <c r="K125" s="123"/>
      <c r="L125" s="123"/>
      <c r="M125" s="123"/>
      <c r="N125" s="124"/>
      <c r="O125" s="124"/>
      <c r="P125" s="124"/>
      <c r="Q125" s="124"/>
      <c r="R125" s="124"/>
      <c r="S125" s="124"/>
      <c r="T125" s="124"/>
      <c r="U125" s="124"/>
      <c r="V125" s="124"/>
      <c r="W125" s="124"/>
      <c r="X125" s="124"/>
      <c r="Y125" s="124"/>
      <c r="Z125" s="124"/>
      <c r="AA125" s="124"/>
      <c r="AB125" s="124"/>
    </row>
    <row r="126">
      <c r="A126" s="132">
        <f t="shared" si="1"/>
        <v>46274</v>
      </c>
      <c r="B126" s="184"/>
      <c r="C126" s="29"/>
      <c r="D126" s="178"/>
      <c r="E126" s="15"/>
      <c r="F126" s="123"/>
      <c r="G126" s="123"/>
      <c r="H126" s="123"/>
      <c r="I126" s="123"/>
      <c r="J126" s="123"/>
      <c r="K126" s="123"/>
      <c r="L126" s="123"/>
      <c r="M126" s="123"/>
      <c r="N126" s="124"/>
      <c r="O126" s="124"/>
      <c r="P126" s="124"/>
      <c r="Q126" s="124"/>
      <c r="R126" s="124"/>
      <c r="S126" s="124"/>
      <c r="T126" s="124"/>
      <c r="U126" s="124"/>
      <c r="V126" s="124"/>
      <c r="W126" s="124"/>
      <c r="X126" s="124"/>
      <c r="Y126" s="124"/>
      <c r="Z126" s="124"/>
      <c r="AA126" s="124"/>
      <c r="AB126" s="124"/>
    </row>
    <row r="127">
      <c r="A127" s="132">
        <f t="shared" si="1"/>
        <v>46274</v>
      </c>
      <c r="B127" s="184"/>
      <c r="C127" s="29"/>
      <c r="D127" s="178"/>
      <c r="E127" s="15"/>
      <c r="F127" s="123"/>
      <c r="G127" s="123"/>
      <c r="H127" s="123"/>
      <c r="I127" s="123"/>
      <c r="J127" s="123"/>
      <c r="K127" s="123"/>
      <c r="L127" s="123"/>
      <c r="M127" s="123"/>
      <c r="N127" s="124"/>
      <c r="O127" s="124"/>
      <c r="P127" s="124"/>
      <c r="Q127" s="124"/>
      <c r="R127" s="124"/>
      <c r="S127" s="124"/>
      <c r="T127" s="124"/>
      <c r="U127" s="124"/>
      <c r="V127" s="124"/>
      <c r="W127" s="124"/>
      <c r="X127" s="124"/>
      <c r="Y127" s="124"/>
      <c r="Z127" s="124"/>
      <c r="AA127" s="124"/>
      <c r="AB127" s="124"/>
    </row>
    <row r="128">
      <c r="A128" s="132">
        <f t="shared" si="1"/>
        <v>46274</v>
      </c>
      <c r="B128" s="184"/>
      <c r="C128" s="29"/>
      <c r="D128" s="178"/>
      <c r="E128" s="15"/>
      <c r="F128" s="123"/>
      <c r="G128" s="123"/>
      <c r="H128" s="123"/>
      <c r="I128" s="123"/>
      <c r="J128" s="123"/>
      <c r="K128" s="123"/>
      <c r="L128" s="123"/>
      <c r="M128" s="123"/>
      <c r="N128" s="124"/>
      <c r="O128" s="124"/>
      <c r="P128" s="124"/>
      <c r="Q128" s="124"/>
      <c r="R128" s="124"/>
      <c r="S128" s="124"/>
      <c r="T128" s="124"/>
      <c r="U128" s="124"/>
      <c r="V128" s="124"/>
      <c r="W128" s="124"/>
      <c r="X128" s="124"/>
      <c r="Y128" s="124"/>
      <c r="Z128" s="124"/>
      <c r="AA128" s="124"/>
      <c r="AB128" s="124"/>
    </row>
    <row r="129">
      <c r="A129" s="132">
        <f t="shared" si="1"/>
        <v>46274</v>
      </c>
      <c r="B129" s="184"/>
      <c r="C129" s="29"/>
      <c r="D129" s="178"/>
      <c r="E129" s="15"/>
      <c r="F129" s="123"/>
      <c r="G129" s="123"/>
      <c r="H129" s="123"/>
      <c r="I129" s="123"/>
      <c r="J129" s="123"/>
      <c r="K129" s="123"/>
      <c r="L129" s="123"/>
      <c r="M129" s="123"/>
      <c r="N129" s="124"/>
      <c r="O129" s="124"/>
      <c r="P129" s="124"/>
      <c r="Q129" s="124"/>
      <c r="R129" s="124"/>
      <c r="S129" s="124"/>
      <c r="T129" s="124"/>
      <c r="U129" s="124"/>
      <c r="V129" s="124"/>
      <c r="W129" s="124"/>
      <c r="X129" s="124"/>
      <c r="Y129" s="124"/>
      <c r="Z129" s="124"/>
      <c r="AA129" s="124"/>
      <c r="AB129" s="124"/>
    </row>
    <row r="130">
      <c r="A130" s="132">
        <f t="shared" si="1"/>
        <v>46274</v>
      </c>
      <c r="B130" s="184"/>
      <c r="C130" s="29"/>
      <c r="D130" s="178"/>
      <c r="E130" s="15"/>
      <c r="F130" s="123"/>
      <c r="G130" s="123"/>
      <c r="H130" s="123"/>
      <c r="I130" s="123"/>
      <c r="J130" s="123"/>
      <c r="K130" s="123"/>
      <c r="L130" s="123"/>
      <c r="M130" s="123"/>
      <c r="N130" s="124"/>
      <c r="O130" s="124"/>
      <c r="P130" s="124"/>
      <c r="Q130" s="124"/>
      <c r="R130" s="124"/>
      <c r="S130" s="124"/>
      <c r="T130" s="124"/>
      <c r="U130" s="124"/>
      <c r="V130" s="124"/>
      <c r="W130" s="124"/>
      <c r="X130" s="124"/>
      <c r="Y130" s="124"/>
      <c r="Z130" s="124"/>
      <c r="AA130" s="124"/>
      <c r="AB130" s="124"/>
    </row>
    <row r="131">
      <c r="A131" s="132">
        <f t="shared" si="1"/>
        <v>46274</v>
      </c>
      <c r="B131" s="184"/>
      <c r="C131" s="29"/>
      <c r="D131" s="178"/>
      <c r="E131" s="15"/>
      <c r="F131" s="123"/>
      <c r="G131" s="123"/>
      <c r="H131" s="123"/>
      <c r="I131" s="123"/>
      <c r="J131" s="123"/>
      <c r="K131" s="123"/>
      <c r="L131" s="123"/>
      <c r="M131" s="123"/>
      <c r="N131" s="124"/>
      <c r="O131" s="124"/>
      <c r="P131" s="124"/>
      <c r="Q131" s="124"/>
      <c r="R131" s="124"/>
      <c r="S131" s="124"/>
      <c r="T131" s="124"/>
      <c r="U131" s="124"/>
      <c r="V131" s="124"/>
      <c r="W131" s="124"/>
      <c r="X131" s="124"/>
      <c r="Y131" s="124"/>
      <c r="Z131" s="124"/>
      <c r="AA131" s="124"/>
      <c r="AB131" s="124"/>
    </row>
    <row r="132">
      <c r="A132" s="132">
        <f t="shared" si="1"/>
        <v>46274</v>
      </c>
      <c r="B132" s="184"/>
      <c r="C132" s="29"/>
      <c r="D132" s="178"/>
      <c r="E132" s="15"/>
      <c r="F132" s="123"/>
      <c r="G132" s="123"/>
      <c r="H132" s="123"/>
      <c r="I132" s="123"/>
      <c r="J132" s="123"/>
      <c r="K132" s="123"/>
      <c r="L132" s="123"/>
      <c r="M132" s="123"/>
      <c r="N132" s="124"/>
      <c r="O132" s="124"/>
      <c r="P132" s="124"/>
      <c r="Q132" s="124"/>
      <c r="R132" s="124"/>
      <c r="S132" s="124"/>
      <c r="T132" s="124"/>
      <c r="U132" s="124"/>
      <c r="V132" s="124"/>
      <c r="W132" s="124"/>
      <c r="X132" s="124"/>
      <c r="Y132" s="124"/>
      <c r="Z132" s="124"/>
      <c r="AA132" s="124"/>
      <c r="AB132" s="124"/>
    </row>
    <row r="133">
      <c r="A133" s="132">
        <f t="shared" si="1"/>
        <v>46274</v>
      </c>
      <c r="B133" s="184"/>
      <c r="C133" s="29"/>
      <c r="D133" s="178"/>
      <c r="E133" s="15"/>
      <c r="F133" s="123"/>
      <c r="G133" s="123"/>
      <c r="H133" s="123"/>
      <c r="I133" s="123"/>
      <c r="J133" s="123"/>
      <c r="K133" s="123"/>
      <c r="L133" s="123"/>
      <c r="M133" s="123"/>
      <c r="N133" s="124"/>
      <c r="O133" s="124"/>
      <c r="P133" s="124"/>
      <c r="Q133" s="124"/>
      <c r="R133" s="124"/>
      <c r="S133" s="124"/>
      <c r="T133" s="124"/>
      <c r="U133" s="124"/>
      <c r="V133" s="124"/>
      <c r="W133" s="124"/>
      <c r="X133" s="124"/>
      <c r="Y133" s="124"/>
      <c r="Z133" s="124"/>
      <c r="AA133" s="124"/>
      <c r="AB133" s="124"/>
    </row>
    <row r="134">
      <c r="A134" s="132">
        <f t="shared" si="1"/>
        <v>46274</v>
      </c>
      <c r="B134" s="184"/>
      <c r="C134" s="29"/>
      <c r="D134" s="178"/>
      <c r="E134" s="15"/>
      <c r="F134" s="123"/>
      <c r="G134" s="123"/>
      <c r="H134" s="123"/>
      <c r="I134" s="123"/>
      <c r="J134" s="123"/>
      <c r="K134" s="123"/>
      <c r="L134" s="123"/>
      <c r="M134" s="123"/>
      <c r="N134" s="124"/>
      <c r="O134" s="124"/>
      <c r="P134" s="124"/>
      <c r="Q134" s="124"/>
      <c r="R134" s="124"/>
      <c r="S134" s="124"/>
      <c r="T134" s="124"/>
      <c r="U134" s="124"/>
      <c r="V134" s="124"/>
      <c r="W134" s="124"/>
      <c r="X134" s="124"/>
      <c r="Y134" s="124"/>
      <c r="Z134" s="124"/>
      <c r="AA134" s="124"/>
      <c r="AB134" s="124"/>
    </row>
    <row r="135">
      <c r="A135" s="132">
        <f t="shared" si="1"/>
        <v>46274</v>
      </c>
      <c r="B135" s="184"/>
      <c r="C135" s="29"/>
      <c r="D135" s="178"/>
      <c r="E135" s="15"/>
      <c r="F135" s="123"/>
      <c r="G135" s="123"/>
      <c r="H135" s="123"/>
      <c r="I135" s="123"/>
      <c r="J135" s="123"/>
      <c r="K135" s="123"/>
      <c r="L135" s="123"/>
      <c r="M135" s="123"/>
      <c r="N135" s="124"/>
      <c r="O135" s="124"/>
      <c r="P135" s="124"/>
      <c r="Q135" s="124"/>
      <c r="R135" s="124"/>
      <c r="S135" s="124"/>
      <c r="T135" s="124"/>
      <c r="U135" s="124"/>
      <c r="V135" s="124"/>
      <c r="W135" s="124"/>
      <c r="X135" s="124"/>
      <c r="Y135" s="124"/>
      <c r="Z135" s="124"/>
      <c r="AA135" s="124"/>
      <c r="AB135" s="124"/>
    </row>
    <row r="136">
      <c r="A136" s="132">
        <f t="shared" si="1"/>
        <v>46274</v>
      </c>
      <c r="B136" s="184"/>
      <c r="C136" s="29"/>
      <c r="D136" s="178"/>
      <c r="E136" s="15"/>
      <c r="F136" s="123"/>
      <c r="G136" s="123"/>
      <c r="H136" s="123"/>
      <c r="I136" s="123"/>
      <c r="J136" s="123"/>
      <c r="K136" s="123"/>
      <c r="L136" s="123"/>
      <c r="M136" s="123"/>
      <c r="N136" s="124"/>
      <c r="O136" s="124"/>
      <c r="P136" s="124"/>
      <c r="Q136" s="124"/>
      <c r="R136" s="124"/>
      <c r="S136" s="124"/>
      <c r="T136" s="124"/>
      <c r="U136" s="124"/>
      <c r="V136" s="124"/>
      <c r="W136" s="124"/>
      <c r="X136" s="124"/>
      <c r="Y136" s="124"/>
      <c r="Z136" s="124"/>
      <c r="AA136" s="124"/>
      <c r="AB136" s="124"/>
    </row>
    <row r="137">
      <c r="A137" s="132">
        <f t="shared" si="1"/>
        <v>46274</v>
      </c>
      <c r="B137" s="184"/>
      <c r="C137" s="29"/>
      <c r="D137" s="178"/>
      <c r="E137" s="15"/>
      <c r="F137" s="123"/>
      <c r="G137" s="123"/>
      <c r="H137" s="123"/>
      <c r="I137" s="123"/>
      <c r="J137" s="123"/>
      <c r="K137" s="123"/>
      <c r="L137" s="123"/>
      <c r="M137" s="123"/>
      <c r="N137" s="124"/>
      <c r="O137" s="124"/>
      <c r="P137" s="124"/>
      <c r="Q137" s="124"/>
      <c r="R137" s="124"/>
      <c r="S137" s="124"/>
      <c r="T137" s="124"/>
      <c r="U137" s="124"/>
      <c r="V137" s="124"/>
      <c r="W137" s="124"/>
      <c r="X137" s="124"/>
      <c r="Y137" s="124"/>
      <c r="Z137" s="124"/>
      <c r="AA137" s="124"/>
      <c r="AB137" s="124"/>
    </row>
    <row r="138">
      <c r="A138" s="132">
        <f t="shared" si="1"/>
        <v>46274</v>
      </c>
      <c r="B138" s="184"/>
      <c r="C138" s="29"/>
      <c r="D138" s="178"/>
      <c r="E138" s="15"/>
      <c r="F138" s="123"/>
      <c r="G138" s="123"/>
      <c r="H138" s="123"/>
      <c r="I138" s="123"/>
      <c r="J138" s="123"/>
      <c r="K138" s="123"/>
      <c r="L138" s="123"/>
      <c r="M138" s="123"/>
      <c r="N138" s="124"/>
      <c r="O138" s="124"/>
      <c r="P138" s="124"/>
      <c r="Q138" s="124"/>
      <c r="R138" s="124"/>
      <c r="S138" s="124"/>
      <c r="T138" s="124"/>
      <c r="U138" s="124"/>
      <c r="V138" s="124"/>
      <c r="W138" s="124"/>
      <c r="X138" s="124"/>
      <c r="Y138" s="124"/>
      <c r="Z138" s="124"/>
      <c r="AA138" s="124"/>
      <c r="AB138" s="124"/>
    </row>
    <row r="139">
      <c r="A139" s="132">
        <f t="shared" si="1"/>
        <v>46274</v>
      </c>
      <c r="B139" s="184"/>
      <c r="C139" s="29"/>
      <c r="D139" s="178"/>
      <c r="E139" s="15"/>
      <c r="F139" s="123"/>
      <c r="G139" s="123"/>
      <c r="H139" s="123"/>
      <c r="I139" s="123"/>
      <c r="J139" s="123"/>
      <c r="K139" s="123"/>
      <c r="L139" s="123"/>
      <c r="M139" s="123"/>
      <c r="N139" s="124"/>
      <c r="O139" s="124"/>
      <c r="P139" s="124"/>
      <c r="Q139" s="124"/>
      <c r="R139" s="124"/>
      <c r="S139" s="124"/>
      <c r="T139" s="124"/>
      <c r="U139" s="124"/>
      <c r="V139" s="124"/>
      <c r="W139" s="124"/>
      <c r="X139" s="124"/>
      <c r="Y139" s="124"/>
      <c r="Z139" s="124"/>
      <c r="AA139" s="124"/>
      <c r="AB139" s="124"/>
    </row>
    <row r="140">
      <c r="A140" s="132">
        <f t="shared" si="1"/>
        <v>46274</v>
      </c>
      <c r="B140" s="184"/>
      <c r="C140" s="29"/>
      <c r="D140" s="178"/>
      <c r="E140" s="15"/>
      <c r="F140" s="123"/>
      <c r="G140" s="123"/>
      <c r="H140" s="123"/>
      <c r="I140" s="123"/>
      <c r="J140" s="123"/>
      <c r="K140" s="123"/>
      <c r="L140" s="123"/>
      <c r="M140" s="123"/>
      <c r="N140" s="124"/>
      <c r="O140" s="124"/>
      <c r="P140" s="124"/>
      <c r="Q140" s="124"/>
      <c r="R140" s="124"/>
      <c r="S140" s="124"/>
      <c r="T140" s="124"/>
      <c r="U140" s="124"/>
      <c r="V140" s="124"/>
      <c r="W140" s="124"/>
      <c r="X140" s="124"/>
      <c r="Y140" s="124"/>
      <c r="Z140" s="124"/>
      <c r="AA140" s="124"/>
      <c r="AB140" s="124"/>
    </row>
  </sheetData>
  <conditionalFormatting sqref="A4:E140 F11:L34">
    <cfRule type="expression" dxfId="0" priority="1">
      <formula>INDIRECT(CONCATENATE("A",ROW()))=0</formula>
    </cfRule>
  </conditionalFormatting>
  <conditionalFormatting sqref="A4:E140 F11:L34">
    <cfRule type="expression" dxfId="1" priority="2">
      <formula>INDIRECT(CONCATENATE("A",ROW()) )=1</formula>
    </cfRule>
  </conditionalFormatting>
  <conditionalFormatting sqref="A4:E140 F11:L34">
    <cfRule type="expression" dxfId="2" priority="3">
      <formula>INDIRECT(CONCATENATE("A",ROW()) )=2</formula>
    </cfRule>
  </conditionalFormatting>
  <conditionalFormatting sqref="A4:E140 F11:L34">
    <cfRule type="expression" dxfId="3" priority="4">
      <formula>INDIRECT(CONCATENATE("A",ROW()) )&gt;2</formula>
    </cfRule>
  </conditionalFormatting>
  <drawing r:id="rId1"/>
</worksheet>
</file>